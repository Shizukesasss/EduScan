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<sst xmlns="http://schemas.openxmlformats.org/spreadsheetml/2006/main" count="211" uniqueCount="68">
  <si>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</si>
  <si>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</si>
  <si>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</si>
  <si>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</si>
  <si>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</si>
  <si>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</si>
  <si>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</si>
  <si>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</si>
  <si>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</si>
  <si>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</si>
  <si>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</si>
  <si>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</si>
  <si>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</si>
  <si>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</si>
  <si>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</si>
  <si>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</si>
  <si>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SPS</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</si>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</sst>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0">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9">
    <fill>
      <patternFill patternType="none"/>
    </fill>
    <fill>
      <patternFill patternType="gray125"/>
    </fill>
    <fill>
      <patternFill patternType="solid">
        <fgColor rgb="FFCC0000"/>
        <bgColor indexed="64"/>
      </patternFill>
    </fill>
    <fill>
      <patternFill patternType="solid">
        <fgColor rgb="FF0B5394"/>
        <bgColor indexed="64"/>
      </patternFill>
    </fill>
    <fill>
      <patternFill patternType="solid">
        <fgColor rgb="FFB6D7A8"/>
        <bgColor indexed="64"/>
      </patternFill>
    </fill>
    <fill>
      <patternFill patternType="solid">
        <fgColor theme="0" tint="-0.0499893185216834"/>
        <bgColor indexed="64"/>
      </patternFill>
    </fill>
    <fill>
      <patternFill patternType="solid">
        <fgColor rgb="FF002060"/>
        <bgColor indexed="64"/>
      </patternFill>
    </fill>
    <fill>
      <patternFill patternType="solid">
        <fgColor rgb="FF666666"/>
        <bgColor indexed="64"/>
      </patternFill>
    </fill>
    <fill>
      <patternFill patternType="solid">
        <fgColor rgb="FFCFE2F3"/>
        <bgColor indexed="64"/>
      </patternFill>
    </fill>
    <fill>
      <patternFill patternType="solid">
        <fgColor rgb="FFFFF2CC"/>
        <bgColor indexed="64"/>
      </patternFill>
    </fill>
    <fill>
      <patternFill patternType="solid">
        <fgColor rgb="FFC9DAF8"/>
        <bgColor indexed="64"/>
      </patternFill>
    </fill>
    <fill>
      <patternFill patternType="solid">
        <fgColor rgb="FFF3F3F3"/>
        <bgColor indexed="64"/>
      </patternFill>
    </fill>
    <fill>
      <patternFill patternType="solid">
        <fgColor rgb="FF999999"/>
        <bgColor indexed="64"/>
      </patternFill>
    </fill>
    <fill>
      <patternFill patternType="solid">
        <fgColor rgb="FFFFFFFF"/>
        <bgColor indexed="64"/>
      </patternFill>
    </fill>
    <fill>
      <patternFill patternType="solid">
        <fgColor rgb="FFE7E6E6"/>
        <bgColor indexed="64"/>
      </patternFill>
    </fill>
    <fill>
      <patternFill patternType="solid">
        <fgColor rgb="FFF2F2F2"/>
        <bgColor indexed="64"/>
      </patternFill>
    </fill>
    <fill>
      <patternFill patternType="solid">
        <fgColor theme="0" tint="-0.249977111117893"/>
        <bgColor indexed="64"/>
      </patternFill>
    </fill>
    <fill>
      <patternFill patternType="solid">
        <fgColor rgb="FFECECEC"/>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7">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thin">
        <color rgb="FF000000"/>
      </right>
      <top style="medium">
        <color auto="1"/>
      </top>
      <bottom/>
      <diagonal/>
    </border>
    <border>
      <left style="medium">
        <color rgb="FF000000"/>
      </left>
      <right style="medium">
        <color auto="1"/>
      </right>
      <top style="medium">
        <color auto="1"/>
      </top>
      <bottom/>
      <diagonal/>
    </border>
    <border>
      <left style="medium">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bottom style="thin">
        <color auto="1"/>
      </bottom>
      <diagonal/>
    </border>
    <border>
      <left/>
      <right style="thin">
        <color rgb="FF000000"/>
      </right>
      <top style="thin">
        <color auto="1"/>
      </top>
      <bottom style="thin">
        <color rgb="FF000000"/>
      </bottom>
      <diagonal/>
    </border>
    <border>
      <left style="medium">
        <color rgb="FF000000"/>
      </left>
      <right style="medium">
        <color auto="1"/>
      </right>
      <top style="thin">
        <color auto="1"/>
      </top>
      <bottom style="thin">
        <color rgb="FF000000"/>
      </bottom>
      <diagonal/>
    </border>
    <border>
      <left style="medium">
        <color rgb="FF000000"/>
      </left>
      <right style="thin">
        <color rgb="FF000000"/>
      </right>
      <top style="thin">
        <color rgb="FF000000"/>
      </top>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right style="thin">
        <color rgb="FF000000"/>
      </right>
      <top style="thin">
        <color auto="1"/>
      </top>
      <bottom/>
      <diagonal/>
    </border>
    <border>
      <left style="medium">
        <color rgb="FF000000"/>
      </left>
      <right style="medium">
        <color auto="1"/>
      </right>
      <top style="thin">
        <color auto="1"/>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auto="1"/>
      </right>
      <top/>
      <bottom style="thin">
        <color rgb="FF000000"/>
      </bottom>
      <diagonal/>
    </border>
    <border>
      <left/>
      <right/>
      <top/>
      <bottom style="thin">
        <color auto="1"/>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top/>
      <bottom style="medium">
        <color auto="1"/>
      </bottom>
      <diagonal/>
    </border>
    <border>
      <left/>
      <right style="thin">
        <color rgb="FF000000"/>
      </right>
      <top style="thin">
        <color auto="1"/>
      </top>
      <bottom style="medium">
        <color auto="1"/>
      </bottom>
      <diagonal/>
    </border>
    <border>
      <left style="medium">
        <color rgb="FF000000"/>
      </left>
      <right style="medium">
        <color auto="1"/>
      </right>
      <top style="thin">
        <color auto="1"/>
      </top>
      <bottom style="medium">
        <color auto="1"/>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000000"/>
      </right>
      <top style="medium">
        <color auto="1"/>
      </top>
      <bottom style="thin">
        <color rgb="FF000000"/>
      </bottom>
      <diagonal/>
    </border>
    <border>
      <left/>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rgb="FF000000"/>
      </left>
      <right style="thin">
        <color rgb="FF000000"/>
      </right>
      <top style="medium">
        <color auto="1"/>
      </top>
      <bottom style="thin">
        <color rgb="FF000000"/>
      </bottom>
      <diagonal/>
    </border>
    <border>
      <left style="thin">
        <color rgb="FF000000"/>
      </left>
      <right style="medium">
        <color rgb="FF000000"/>
      </right>
      <top style="medium">
        <color auto="1"/>
      </top>
      <bottom style="thin">
        <color rgb="FF000000"/>
      </bottom>
      <diagonal/>
    </border>
    <border>
      <left/>
      <right style="medium">
        <color rgb="FF000000"/>
      </right>
      <top style="medium">
        <color auto="1"/>
      </top>
      <bottom style="thin">
        <color rgb="FF000000"/>
      </bottom>
      <diagonal/>
    </border>
    <border>
      <left style="medium">
        <color rgb="FF000000"/>
      </left>
      <right style="medium">
        <color rgb="FF000000"/>
      </right>
      <top style="medium">
        <color auto="1"/>
      </top>
      <bottom style="thin">
        <color rgb="FF000000"/>
      </bottom>
      <diagonal/>
    </border>
    <border>
      <left style="medium">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auto="1"/>
      </right>
      <top style="thin">
        <color rgb="FF000000"/>
      </top>
      <bottom style="thin">
        <color rgb="FF000000"/>
      </bottom>
      <diagonal/>
    </border>
    <border>
      <left style="medium">
        <color auto="1"/>
      </left>
      <right style="thin">
        <color rgb="FF000000"/>
      </right>
      <top style="thin">
        <color rgb="FF000000"/>
      </top>
      <bottom/>
      <diagonal/>
    </border>
    <border>
      <left style="medium">
        <color auto="1"/>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medium">
        <color rgb="FF000000"/>
      </left>
      <right style="thin">
        <color rgb="FF000000"/>
      </right>
      <top style="thin">
        <color rgb="FF000000"/>
      </top>
      <bottom style="medium">
        <color auto="1"/>
      </bottom>
      <diagonal/>
    </border>
    <border>
      <left style="thin">
        <color rgb="FF000000"/>
      </left>
      <right style="medium">
        <color rgb="FF000000"/>
      </right>
      <top style="thin">
        <color rgb="FF000000"/>
      </top>
      <bottom style="medium">
        <color auto="1"/>
      </bottom>
      <diagonal/>
    </border>
    <border>
      <left/>
      <right style="medium">
        <color rgb="FF000000"/>
      </right>
      <top style="thin">
        <color rgb="FF000000"/>
      </top>
      <bottom style="medium">
        <color auto="1"/>
      </bottom>
      <diagonal/>
    </border>
    <border>
      <left style="medium">
        <color rgb="FF000000"/>
      </left>
      <right style="medium">
        <color rgb="FF000000"/>
      </right>
      <top style="thin">
        <color rgb="FF000000"/>
      </top>
      <bottom style="medium">
        <color auto="1"/>
      </bottom>
      <diagonal/>
    </border>
    <border>
      <left style="medium">
        <color rgb="FF000000"/>
      </left>
      <right style="medium">
        <color auto="1"/>
      </right>
      <top style="thin">
        <color rgb="FF000000"/>
      </top>
      <bottom style="medium">
        <color auto="1"/>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19" borderId="139"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40" applyNumberFormat="0" applyFill="0" applyAlignment="0" applyProtection="0">
      <alignment vertical="center"/>
    </xf>
    <xf numFmtId="0" fontId="37" fillId="0" borderId="140" applyNumberFormat="0" applyFill="0" applyAlignment="0" applyProtection="0">
      <alignment vertical="center"/>
    </xf>
    <xf numFmtId="0" fontId="38" fillId="0" borderId="141" applyNumberFormat="0" applyFill="0" applyAlignment="0" applyProtection="0">
      <alignment vertical="center"/>
    </xf>
    <xf numFmtId="0" fontId="38" fillId="0" borderId="0" applyNumberFormat="0" applyFill="0" applyBorder="0" applyAlignment="0" applyProtection="0">
      <alignment vertical="center"/>
    </xf>
    <xf numFmtId="0" fontId="39" fillId="20" borderId="142" applyNumberFormat="0" applyAlignment="0" applyProtection="0">
      <alignment vertical="center"/>
    </xf>
    <xf numFmtId="0" fontId="40" fillId="15" borderId="143" applyNumberFormat="0" applyAlignment="0" applyProtection="0">
      <alignment vertical="center"/>
    </xf>
    <xf numFmtId="0" fontId="41" fillId="15" borderId="142" applyNumberFormat="0" applyAlignment="0" applyProtection="0">
      <alignment vertical="center"/>
    </xf>
    <xf numFmtId="0" fontId="42" fillId="21" borderId="144" applyNumberFormat="0" applyAlignment="0" applyProtection="0">
      <alignment vertical="center"/>
    </xf>
    <xf numFmtId="0" fontId="43" fillId="0" borderId="145" applyNumberFormat="0" applyFill="0" applyAlignment="0" applyProtection="0">
      <alignment vertical="center"/>
    </xf>
    <xf numFmtId="0" fontId="44" fillId="0" borderId="146" applyNumberFormat="0" applyFill="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8" fillId="40" borderId="0" applyNumberFormat="0" applyBorder="0" applyAlignment="0" applyProtection="0">
      <alignment vertical="center"/>
    </xf>
    <xf numFmtId="0" fontId="48"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48" fillId="44" borderId="0" applyNumberFormat="0" applyBorder="0" applyAlignment="0" applyProtection="0">
      <alignment vertical="center"/>
    </xf>
    <xf numFmtId="0" fontId="48" fillId="45" borderId="0" applyNumberFormat="0" applyBorder="0" applyAlignment="0" applyProtection="0">
      <alignment vertical="center"/>
    </xf>
    <xf numFmtId="0" fontId="49" fillId="46" borderId="0" applyNumberFormat="0" applyBorder="0" applyAlignment="0" applyProtection="0">
      <alignment vertical="center"/>
    </xf>
    <xf numFmtId="0" fontId="49" fillId="47" borderId="0" applyNumberFormat="0" applyBorder="0" applyAlignment="0" applyProtection="0">
      <alignment vertical="center"/>
    </xf>
    <xf numFmtId="0" fontId="48" fillId="48" borderId="0" applyNumberFormat="0" applyBorder="0" applyAlignment="0" applyProtection="0">
      <alignment vertical="center"/>
    </xf>
  </cellStyleXfs>
  <cellXfs count="275">
    <xf numFmtId="0" fontId="0" fillId="0" borderId="0" xfId="0" applyBorder="1"/>
    <xf numFmtId="0" fontId="1" fillId="0" borderId="0" xfId="0" applyFont="1" applyBorder="1"/>
    <xf numFmtId="0" fontId="2" fillId="0" borderId="0" xfId="0" applyFont="1" applyBorder="1"/>
    <xf numFmtId="0" fontId="3" fillId="0" borderId="0" xfId="0" applyFont="1" applyBorder="1"/>
    <xf numFmtId="0" fontId="4" fillId="0" borderId="0" xfId="0" applyFont="1" applyBorder="1"/>
    <xf numFmtId="0" fontId="5" fillId="2" borderId="0" xfId="0" applyFont="1" applyFill="1" applyAlignment="1">
      <alignment horizontal="center"/>
    </xf>
    <xf numFmtId="0" fontId="6" fillId="0" borderId="0" xfId="0" applyFont="1" applyBorder="1"/>
    <xf numFmtId="0" fontId="5" fillId="3" borderId="1" xfId="0" applyFont="1" applyFill="1" applyBorder="1" applyAlignment="1">
      <alignment horizontal="center"/>
    </xf>
    <xf numFmtId="0" fontId="0" fillId="0" borderId="2" xfId="0" applyBorder="1"/>
    <xf numFmtId="0" fontId="0" fillId="0" borderId="3" xfId="0" applyBorder="1"/>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vertical="center" wrapText="1"/>
    </xf>
    <xf numFmtId="2" fontId="7" fillId="0" borderId="10" xfId="0" applyNumberFormat="1"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8" fillId="0" borderId="14" xfId="0" applyFont="1" applyBorder="1" applyAlignment="1">
      <alignment horizontal="center"/>
    </xf>
    <xf numFmtId="0" fontId="4" fillId="0" borderId="15" xfId="0" applyFont="1" applyBorder="1" applyAlignment="1">
      <alignment horizontal="center" vertical="center" wrapText="1"/>
    </xf>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
    </xf>
    <xf numFmtId="0" fontId="8" fillId="0" borderId="20" xfId="0" applyFont="1" applyBorder="1" applyAlignment="1">
      <alignment horizontal="center"/>
    </xf>
    <xf numFmtId="0" fontId="0" fillId="0" borderId="21" xfId="0" applyBorder="1"/>
    <xf numFmtId="2" fontId="7" fillId="0" borderId="16" xfId="0" applyNumberFormat="1" applyFont="1" applyBorder="1" applyAlignment="1">
      <alignment horizontal="center"/>
    </xf>
    <xf numFmtId="0" fontId="0" fillId="0" borderId="15" xfId="0" applyBorder="1"/>
    <xf numFmtId="0" fontId="4" fillId="0" borderId="22" xfId="0" applyFont="1" applyBorder="1" applyAlignment="1">
      <alignment horizontal="center" vertical="center" wrapText="1"/>
    </xf>
    <xf numFmtId="0" fontId="7" fillId="4" borderId="16" xfId="0" applyFont="1" applyFill="1" applyBorder="1" applyAlignment="1">
      <alignment horizontal="center"/>
    </xf>
    <xf numFmtId="0" fontId="7" fillId="4" borderId="17" xfId="0" applyFont="1" applyFill="1" applyBorder="1" applyAlignment="1">
      <alignment horizontal="center"/>
    </xf>
    <xf numFmtId="0" fontId="7" fillId="4" borderId="18" xfId="0" applyFont="1" applyFill="1" applyBorder="1" applyAlignment="1">
      <alignment horizontal="center"/>
    </xf>
    <xf numFmtId="2" fontId="7" fillId="0" borderId="17" xfId="0" applyNumberFormat="1" applyFont="1" applyBorder="1" applyAlignment="1">
      <alignment horizontal="center"/>
    </xf>
    <xf numFmtId="0" fontId="4" fillId="0" borderId="23" xfId="0" applyFont="1" applyBorder="1" applyAlignment="1">
      <alignment horizontal="center" vertical="center" wrapText="1"/>
    </xf>
    <xf numFmtId="0" fontId="7" fillId="0" borderId="24" xfId="0" applyFont="1" applyBorder="1" applyAlignment="1">
      <alignment horizontal="center"/>
    </xf>
    <xf numFmtId="0" fontId="7" fillId="0" borderId="25" xfId="0" applyFont="1" applyBorder="1" applyAlignment="1">
      <alignment horizontal="center"/>
    </xf>
    <xf numFmtId="0" fontId="7" fillId="0" borderId="26" xfId="0" applyFont="1" applyBorder="1" applyAlignment="1">
      <alignment horizontal="center"/>
    </xf>
    <xf numFmtId="0" fontId="7" fillId="0" borderId="27" xfId="0" applyFont="1" applyBorder="1" applyAlignment="1">
      <alignment horizontal="center"/>
    </xf>
    <xf numFmtId="0" fontId="8" fillId="0" borderId="28" xfId="0" applyFont="1" applyBorder="1" applyAlignment="1">
      <alignment horizontal="center"/>
    </xf>
    <xf numFmtId="0" fontId="0" fillId="0" borderId="29" xfId="0" applyBorder="1"/>
    <xf numFmtId="0" fontId="9" fillId="0" borderId="0" xfId="0" applyFont="1" applyBorder="1" applyAlignment="1">
      <alignment horizontal="center"/>
    </xf>
    <xf numFmtId="0" fontId="4" fillId="0" borderId="0" xfId="0" applyFont="1" applyBorder="1" applyAlignment="1">
      <alignment horizontal="center" vertical="center" wrapText="1"/>
    </xf>
    <xf numFmtId="0" fontId="0" fillId="0" borderId="0" xfId="0" applyBorder="1" applyProtection="1">
      <protection locked="0"/>
    </xf>
    <xf numFmtId="0" fontId="10" fillId="0" borderId="0" xfId="0" applyFont="1" applyBorder="1" applyProtection="1">
      <protection locked="0"/>
    </xf>
    <xf numFmtId="0" fontId="9" fillId="0" borderId="0" xfId="0" applyFont="1" applyBorder="1" applyProtection="1">
      <protection locked="0"/>
    </xf>
    <xf numFmtId="0" fontId="11" fillId="0" borderId="0" xfId="0" applyFont="1" applyAlignment="1" applyProtection="1">
      <alignment horizontal="center"/>
      <protection locked="0"/>
    </xf>
    <xf numFmtId="0" fontId="8" fillId="0" borderId="0" xfId="0" applyFont="1" applyBorder="1" applyAlignment="1" applyProtection="1">
      <alignment horizontal="right" vertical="center"/>
      <protection locked="0"/>
    </xf>
    <xf numFmtId="0" fontId="12" fillId="5" borderId="30" xfId="0" applyFont="1" applyFill="1" applyBorder="1" applyAlignment="1" applyProtection="1">
      <alignment horizontal="center" vertical="center"/>
      <protection hidden="1"/>
    </xf>
    <xf numFmtId="0" fontId="0" fillId="0" borderId="31" xfId="0" applyBorder="1" applyProtection="1">
      <protection hidden="1"/>
    </xf>
    <xf numFmtId="0" fontId="0" fillId="0" borderId="32" xfId="0" applyBorder="1" applyProtection="1">
      <protection hidden="1"/>
    </xf>
    <xf numFmtId="0" fontId="8" fillId="0" borderId="0" xfId="0" applyFont="1" applyBorder="1" applyAlignment="1" applyProtection="1">
      <alignment horizontal="right"/>
      <protection locked="0"/>
    </xf>
    <xf numFmtId="0" fontId="4" fillId="0" borderId="0" xfId="0" applyFont="1" applyProtection="1">
      <protection locked="0"/>
    </xf>
    <xf numFmtId="0" fontId="13" fillId="0" borderId="0" xfId="0" applyFont="1" applyProtection="1">
      <protection locked="0"/>
    </xf>
    <xf numFmtId="0" fontId="8" fillId="0" borderId="0" xfId="0" applyFont="1" applyAlignment="1" applyProtection="1">
      <alignment horizontal="center"/>
      <protection locked="0"/>
    </xf>
    <xf numFmtId="0" fontId="14" fillId="6" borderId="33" xfId="0" applyFont="1" applyFill="1" applyBorder="1" applyAlignment="1" applyProtection="1">
      <alignment horizontal="center"/>
      <protection locked="0"/>
    </xf>
    <xf numFmtId="0" fontId="0" fillId="0" borderId="33" xfId="0" applyBorder="1" applyProtection="1">
      <protection locked="0"/>
    </xf>
    <xf numFmtId="0" fontId="15" fillId="0" borderId="30" xfId="0" applyFont="1" applyBorder="1" applyAlignment="1" applyProtection="1">
      <alignment vertical="center"/>
      <protection locked="0"/>
    </xf>
    <xf numFmtId="0" fontId="0" fillId="0" borderId="31" xfId="0" applyBorder="1" applyProtection="1">
      <protection locked="0"/>
    </xf>
    <xf numFmtId="0" fontId="15" fillId="0" borderId="30" xfId="0" applyFont="1" applyBorder="1" applyAlignment="1" applyProtection="1">
      <alignment horizontal="right" vertical="center"/>
      <protection locked="0"/>
    </xf>
    <xf numFmtId="0" fontId="12" fillId="5" borderId="31" xfId="0" applyFont="1" applyFill="1" applyBorder="1" applyAlignment="1" applyProtection="1">
      <alignment horizontal="center" vertical="center"/>
      <protection hidden="1"/>
    </xf>
    <xf numFmtId="0" fontId="15" fillId="0" borderId="1" xfId="0" applyFont="1" applyBorder="1" applyAlignment="1" applyProtection="1">
      <alignment horizontal="right" vertical="center"/>
      <protection locked="0"/>
    </xf>
    <xf numFmtId="0" fontId="15" fillId="0" borderId="34" xfId="0" applyFont="1" applyBorder="1" applyAlignment="1" applyProtection="1">
      <alignment horizontal="center" vertical="center"/>
      <protection locked="0"/>
    </xf>
    <xf numFmtId="0" fontId="0" fillId="0" borderId="2" xfId="0" applyBorder="1" applyProtection="1">
      <protection locked="0"/>
    </xf>
    <xf numFmtId="0" fontId="15" fillId="0" borderId="35" xfId="0" applyFont="1" applyBorder="1" applyAlignment="1" applyProtection="1">
      <alignment horizontal="center" vertical="center"/>
      <protection locked="0"/>
    </xf>
    <xf numFmtId="0" fontId="0" fillId="0" borderId="36" xfId="0" applyBorder="1" applyProtection="1">
      <protection locked="0"/>
    </xf>
    <xf numFmtId="0" fontId="0" fillId="0" borderId="37" xfId="0" applyBorder="1" applyProtection="1">
      <protection locked="0"/>
    </xf>
    <xf numFmtId="0" fontId="15" fillId="0" borderId="31" xfId="0" applyFont="1" applyBorder="1" applyAlignment="1" applyProtection="1">
      <alignment horizontal="center" vertical="center"/>
      <protection locked="0"/>
    </xf>
    <xf numFmtId="0" fontId="15" fillId="0" borderId="30" xfId="0" applyFont="1" applyBorder="1" applyAlignment="1" applyProtection="1">
      <alignment horizontal="center" vertical="center"/>
      <protection locked="0"/>
    </xf>
    <xf numFmtId="0" fontId="0" fillId="0" borderId="0" xfId="0" applyProtection="1">
      <protection locked="0"/>
    </xf>
    <xf numFmtId="0" fontId="0" fillId="0" borderId="38" xfId="0" applyBorder="1" applyProtection="1">
      <protection locked="0"/>
    </xf>
    <xf numFmtId="0" fontId="0" fillId="0" borderId="39" xfId="0" applyBorder="1" applyProtection="1">
      <protection locked="0"/>
    </xf>
    <xf numFmtId="0" fontId="0" fillId="0" borderId="40" xfId="0" applyBorder="1" applyProtection="1">
      <protection locked="0"/>
    </xf>
    <xf numFmtId="0" fontId="16" fillId="7" borderId="30" xfId="0" applyFont="1" applyFill="1" applyBorder="1" applyProtection="1">
      <protection locked="0"/>
    </xf>
    <xf numFmtId="0" fontId="0" fillId="0" borderId="32" xfId="0" applyBorder="1" applyProtection="1">
      <protection locked="0"/>
    </xf>
    <xf numFmtId="0" fontId="17" fillId="0" borderId="0" xfId="0" applyFont="1" applyAlignment="1" applyProtection="1">
      <alignment horizontal="center"/>
      <protection locked="0"/>
    </xf>
    <xf numFmtId="0" fontId="15" fillId="8" borderId="41" xfId="0" applyFont="1" applyFill="1" applyBorder="1" applyAlignment="1" applyProtection="1">
      <alignment horizontal="center"/>
      <protection locked="0"/>
    </xf>
    <xf numFmtId="0" fontId="12" fillId="5" borderId="42" xfId="0" applyFont="1" applyFill="1" applyBorder="1" applyAlignment="1" applyProtection="1">
      <alignment vertical="center"/>
      <protection hidden="1"/>
    </xf>
    <xf numFmtId="0" fontId="0" fillId="0" borderId="42" xfId="0" applyBorder="1" applyProtection="1">
      <protection hidden="1"/>
    </xf>
    <xf numFmtId="0" fontId="9" fillId="5" borderId="43" xfId="0" applyFont="1" applyFill="1" applyBorder="1" applyAlignment="1" applyProtection="1">
      <alignment horizontal="center" vertical="center"/>
      <protection hidden="1"/>
    </xf>
    <xf numFmtId="0" fontId="9" fillId="5" borderId="44" xfId="0" applyFont="1" applyFill="1" applyBorder="1" applyAlignment="1" applyProtection="1">
      <alignment horizontal="center" vertical="center"/>
      <protection hidden="1"/>
    </xf>
    <xf numFmtId="0" fontId="9" fillId="5" borderId="45" xfId="0" applyFont="1" applyFill="1" applyBorder="1" applyAlignment="1" applyProtection="1">
      <alignment horizontal="center" vertical="center"/>
      <protection hidden="1"/>
    </xf>
    <xf numFmtId="1" fontId="18" fillId="5" borderId="44" xfId="0" applyNumberFormat="1" applyFont="1" applyFill="1" applyBorder="1" applyAlignment="1" applyProtection="1">
      <alignment horizontal="center" vertical="center"/>
      <protection hidden="1"/>
    </xf>
    <xf numFmtId="0" fontId="18" fillId="5" borderId="46" xfId="0" applyFont="1" applyFill="1" applyBorder="1" applyAlignment="1" applyProtection="1">
      <alignment horizontal="center" vertical="center"/>
      <protection hidden="1"/>
    </xf>
    <xf numFmtId="0" fontId="18" fillId="0" borderId="47"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5" fillId="8" borderId="48" xfId="0" applyFont="1" applyFill="1" applyBorder="1" applyAlignment="1" applyProtection="1">
      <alignment horizontal="center"/>
      <protection locked="0"/>
    </xf>
    <xf numFmtId="0" fontId="9" fillId="5" borderId="49" xfId="0" applyFont="1" applyFill="1" applyBorder="1" applyAlignment="1" applyProtection="1">
      <alignment horizontal="center" vertical="center"/>
      <protection hidden="1"/>
    </xf>
    <xf numFmtId="0" fontId="9" fillId="5" borderId="50" xfId="0" applyFont="1" applyFill="1" applyBorder="1" applyAlignment="1" applyProtection="1">
      <alignment horizontal="center" vertical="center"/>
      <protection hidden="1"/>
    </xf>
    <xf numFmtId="0" fontId="9" fillId="5" borderId="51" xfId="0" applyFont="1" applyFill="1" applyBorder="1" applyAlignment="1" applyProtection="1">
      <alignment horizontal="center" vertical="center"/>
      <protection hidden="1"/>
    </xf>
    <xf numFmtId="1" fontId="18" fillId="5" borderId="52" xfId="0" applyNumberFormat="1" applyFont="1" applyFill="1" applyBorder="1" applyAlignment="1" applyProtection="1">
      <alignment horizontal="center" vertical="center"/>
      <protection hidden="1"/>
    </xf>
    <xf numFmtId="0" fontId="18" fillId="5" borderId="53" xfId="0" applyFont="1" applyFill="1" applyBorder="1" applyAlignment="1" applyProtection="1">
      <alignment horizontal="center" vertical="center"/>
      <protection hidden="1"/>
    </xf>
    <xf numFmtId="0" fontId="18" fillId="0" borderId="54" xfId="0" applyFont="1" applyBorder="1" applyAlignment="1" applyProtection="1">
      <alignment horizontal="center" vertical="center"/>
      <protection locked="0"/>
    </xf>
    <xf numFmtId="0" fontId="17" fillId="0" borderId="0" xfId="0" applyFont="1" applyProtection="1">
      <protection locked="0"/>
    </xf>
    <xf numFmtId="1" fontId="18" fillId="5" borderId="50" xfId="0" applyNumberFormat="1" applyFont="1" applyFill="1" applyBorder="1" applyAlignment="1" applyProtection="1">
      <alignment horizontal="center" vertical="center"/>
      <protection hidden="1"/>
    </xf>
    <xf numFmtId="0" fontId="15" fillId="8" borderId="55" xfId="0" applyFont="1" applyFill="1" applyBorder="1" applyAlignment="1" applyProtection="1">
      <alignment horizontal="center"/>
      <protection locked="0"/>
    </xf>
    <xf numFmtId="0" fontId="12" fillId="5" borderId="0" xfId="0" applyFont="1" applyFill="1" applyAlignment="1" applyProtection="1">
      <alignment vertical="center"/>
      <protection hidden="1"/>
    </xf>
    <xf numFmtId="0" fontId="0" fillId="0" borderId="0" xfId="0" applyBorder="1" applyProtection="1">
      <protection hidden="1"/>
    </xf>
    <xf numFmtId="0" fontId="9" fillId="5" borderId="56" xfId="0" applyFont="1" applyFill="1" applyBorder="1" applyAlignment="1" applyProtection="1">
      <alignment horizontal="center" vertical="center"/>
      <protection hidden="1"/>
    </xf>
    <xf numFmtId="0" fontId="9" fillId="5" borderId="57" xfId="0" applyFont="1" applyFill="1" applyBorder="1" applyAlignment="1" applyProtection="1">
      <alignment horizontal="center" vertical="center"/>
      <protection hidden="1"/>
    </xf>
    <xf numFmtId="0" fontId="9" fillId="5" borderId="58" xfId="0" applyFont="1" applyFill="1" applyBorder="1" applyAlignment="1" applyProtection="1">
      <alignment horizontal="center" vertical="center"/>
      <protection hidden="1"/>
    </xf>
    <xf numFmtId="1" fontId="18" fillId="5" borderId="57" xfId="0" applyNumberFormat="1" applyFont="1" applyFill="1" applyBorder="1" applyAlignment="1" applyProtection="1">
      <alignment horizontal="center" vertical="center"/>
      <protection hidden="1"/>
    </xf>
    <xf numFmtId="0" fontId="18" fillId="5" borderId="59" xfId="0" applyFont="1" applyFill="1" applyBorder="1" applyAlignment="1" applyProtection="1">
      <alignment horizontal="center" vertical="center"/>
      <protection hidden="1"/>
    </xf>
    <xf numFmtId="0" fontId="18" fillId="0" borderId="60" xfId="0" applyFont="1" applyBorder="1" applyAlignment="1" applyProtection="1">
      <alignment horizontal="center" vertical="center"/>
      <protection locked="0"/>
    </xf>
    <xf numFmtId="0" fontId="16" fillId="7" borderId="35" xfId="0" applyFont="1" applyFill="1" applyBorder="1" applyProtection="1">
      <protection locked="0"/>
    </xf>
    <xf numFmtId="0" fontId="15" fillId="9" borderId="61" xfId="0" applyFont="1" applyFill="1" applyBorder="1" applyAlignment="1" applyProtection="1">
      <alignment horizontal="center"/>
      <protection locked="0"/>
    </xf>
    <xf numFmtId="0" fontId="18" fillId="5" borderId="62" xfId="0" applyFont="1" applyFill="1" applyBorder="1" applyAlignment="1" applyProtection="1">
      <alignment horizontal="center" vertical="center"/>
      <protection hidden="1"/>
    </xf>
    <xf numFmtId="0" fontId="18" fillId="0" borderId="63" xfId="0" applyFont="1" applyBorder="1" applyAlignment="1" applyProtection="1">
      <alignment horizontal="center" vertical="center"/>
      <protection locked="0"/>
    </xf>
    <xf numFmtId="0" fontId="15" fillId="9" borderId="48" xfId="0" applyFont="1" applyFill="1" applyBorder="1" applyAlignment="1" applyProtection="1">
      <alignment horizontal="center"/>
      <protection locked="0"/>
    </xf>
    <xf numFmtId="0" fontId="9" fillId="5" borderId="64" xfId="0" applyFont="1" applyFill="1" applyBorder="1" applyAlignment="1" applyProtection="1">
      <alignment horizontal="center" vertical="center"/>
      <protection hidden="1"/>
    </xf>
    <xf numFmtId="0" fontId="15" fillId="9" borderId="55" xfId="0" applyFont="1" applyFill="1" applyBorder="1" applyAlignment="1" applyProtection="1">
      <alignment horizontal="center"/>
      <protection locked="0"/>
    </xf>
    <xf numFmtId="0" fontId="15" fillId="9" borderId="65" xfId="0" applyFont="1" applyFill="1" applyBorder="1" applyAlignment="1" applyProtection="1">
      <alignment horizontal="center"/>
      <protection locked="0"/>
    </xf>
    <xf numFmtId="0" fontId="12" fillId="5" borderId="66" xfId="0" applyFont="1" applyFill="1" applyBorder="1" applyAlignment="1" applyProtection="1">
      <alignment vertical="center"/>
      <protection hidden="1"/>
    </xf>
    <xf numFmtId="0" fontId="0" fillId="0" borderId="67" xfId="0" applyBorder="1" applyProtection="1">
      <protection hidden="1"/>
    </xf>
    <xf numFmtId="0" fontId="9" fillId="5" borderId="68" xfId="0" applyFont="1" applyFill="1" applyBorder="1" applyAlignment="1" applyProtection="1">
      <alignment horizontal="center" vertical="center"/>
      <protection hidden="1"/>
    </xf>
    <xf numFmtId="0" fontId="18" fillId="5" borderId="69" xfId="0" applyFont="1" applyFill="1" applyBorder="1" applyAlignment="1" applyProtection="1">
      <alignment horizontal="center" vertical="center"/>
      <protection hidden="1"/>
    </xf>
    <xf numFmtId="0" fontId="18" fillId="0" borderId="70" xfId="0" applyFont="1" applyBorder="1" applyAlignment="1" applyProtection="1">
      <alignment horizontal="center" vertical="center"/>
      <protection locked="0"/>
    </xf>
    <xf numFmtId="0" fontId="9" fillId="0" borderId="0" xfId="0" applyFont="1" applyProtection="1">
      <protection locked="0"/>
    </xf>
    <xf numFmtId="0" fontId="9" fillId="0" borderId="0" xfId="0" applyFont="1" applyBorder="1" applyAlignment="1" applyProtection="1">
      <alignment horizontal="center"/>
      <protection locked="0"/>
    </xf>
    <xf numFmtId="0" fontId="10" fillId="0" borderId="0" xfId="0" applyFont="1" applyBorder="1" applyAlignment="1" applyProtection="1">
      <alignment horizontal="center" vertical="center"/>
      <protection locked="0"/>
    </xf>
    <xf numFmtId="0" fontId="19" fillId="0" borderId="0" xfId="0" applyFont="1" applyAlignment="1" applyProtection="1">
      <alignment horizontal="center"/>
      <protection locked="0"/>
    </xf>
    <xf numFmtId="0" fontId="4" fillId="5" borderId="30" xfId="0" applyFont="1" applyFill="1" applyBorder="1" applyAlignment="1" applyProtection="1">
      <alignment horizontal="center"/>
      <protection hidden="1"/>
    </xf>
    <xf numFmtId="0" fontId="9" fillId="0" borderId="0" xfId="0" applyFont="1" applyBorder="1" applyAlignment="1" applyProtection="1">
      <alignment vertical="center"/>
      <protection locked="0"/>
    </xf>
    <xf numFmtId="0" fontId="4" fillId="0" borderId="32" xfId="0" applyFont="1" applyBorder="1" applyAlignment="1" applyProtection="1">
      <alignment horizontal="center"/>
      <protection locked="0"/>
    </xf>
    <xf numFmtId="0" fontId="13" fillId="0" borderId="32" xfId="0" applyFont="1" applyBorder="1" applyAlignment="1" applyProtection="1">
      <alignment horizontal="center"/>
      <protection locked="0"/>
    </xf>
    <xf numFmtId="0" fontId="20" fillId="6" borderId="35" xfId="0" applyFont="1" applyFill="1" applyBorder="1" applyAlignment="1" applyProtection="1">
      <alignment horizontal="center"/>
      <protection locked="0"/>
    </xf>
    <xf numFmtId="0" fontId="21" fillId="5" borderId="71" xfId="0" applyFont="1" applyFill="1" applyBorder="1" applyAlignment="1" applyProtection="1">
      <alignment horizontal="center" vertical="center"/>
      <protection locked="0"/>
    </xf>
    <xf numFmtId="0" fontId="0" fillId="0" borderId="72" xfId="0" applyBorder="1" applyProtection="1">
      <protection locked="0"/>
    </xf>
    <xf numFmtId="0" fontId="15" fillId="0" borderId="40" xfId="0" applyFont="1" applyBorder="1" applyAlignment="1" applyProtection="1">
      <alignment vertical="center"/>
      <protection locked="0"/>
    </xf>
    <xf numFmtId="0" fontId="12" fillId="5" borderId="40" xfId="0" applyFont="1" applyFill="1" applyBorder="1" applyAlignment="1" applyProtection="1">
      <alignment horizontal="center" vertical="center"/>
      <protection hidden="1"/>
    </xf>
    <xf numFmtId="0" fontId="0" fillId="0" borderId="33" xfId="0" applyBorder="1" applyProtection="1">
      <protection hidden="1"/>
    </xf>
    <xf numFmtId="0" fontId="0" fillId="0" borderId="39" xfId="0" applyBorder="1" applyProtection="1">
      <protection hidden="1"/>
    </xf>
    <xf numFmtId="0" fontId="15" fillId="5" borderId="40" xfId="0" applyFont="1" applyFill="1" applyBorder="1" applyAlignment="1" applyProtection="1">
      <alignment horizontal="center" vertical="center"/>
      <protection locked="0"/>
    </xf>
    <xf numFmtId="0" fontId="0" fillId="0" borderId="72" xfId="0" applyBorder="1" applyProtection="1">
      <protection hidden="1"/>
    </xf>
    <xf numFmtId="0" fontId="15" fillId="5" borderId="38" xfId="0" applyFont="1" applyFill="1" applyBorder="1" applyAlignment="1" applyProtection="1">
      <alignment horizontal="center" vertical="center"/>
      <protection locked="0"/>
    </xf>
    <xf numFmtId="0" fontId="0" fillId="0" borderId="73" xfId="0" applyBorder="1" applyProtection="1">
      <protection locked="0"/>
    </xf>
    <xf numFmtId="0" fontId="0" fillId="0" borderId="38" xfId="0" applyBorder="1" applyProtection="1">
      <protection hidden="1"/>
    </xf>
    <xf numFmtId="0" fontId="15" fillId="5" borderId="30" xfId="0" applyFont="1" applyFill="1" applyBorder="1" applyAlignment="1" applyProtection="1">
      <alignment horizontal="center" vertical="center"/>
      <protection locked="0"/>
    </xf>
    <xf numFmtId="0" fontId="0" fillId="0" borderId="3" xfId="0" applyBorder="1" applyProtection="1">
      <protection locked="0"/>
    </xf>
    <xf numFmtId="0" fontId="15" fillId="5" borderId="30" xfId="0" applyFont="1" applyFill="1" applyBorder="1" applyAlignment="1" applyProtection="1">
      <alignment horizontal="center" vertical="center" wrapText="1"/>
      <protection locked="0"/>
    </xf>
    <xf numFmtId="0" fontId="0" fillId="0" borderId="71" xfId="0" applyBorder="1" applyProtection="1">
      <protection locked="0"/>
    </xf>
    <xf numFmtId="0" fontId="22" fillId="10" borderId="41" xfId="0" applyFont="1" applyFill="1" applyBorder="1" applyAlignment="1" applyProtection="1">
      <alignment horizontal="center" vertical="center"/>
      <protection locked="0"/>
    </xf>
    <xf numFmtId="0" fontId="22" fillId="10" borderId="74" xfId="0" applyFont="1" applyFill="1" applyBorder="1" applyAlignment="1" applyProtection="1">
      <alignment horizontal="center" vertical="center"/>
      <protection locked="0"/>
    </xf>
    <xf numFmtId="0" fontId="22" fillId="10" borderId="75" xfId="0" applyFont="1" applyFill="1" applyBorder="1" applyAlignment="1" applyProtection="1">
      <alignment horizontal="center" vertical="center"/>
      <protection locked="0"/>
    </xf>
    <xf numFmtId="0" fontId="22" fillId="11" borderId="76" xfId="0" applyFont="1" applyFill="1" applyBorder="1" applyAlignment="1" applyProtection="1">
      <alignment horizontal="center" vertical="center"/>
      <protection locked="0"/>
    </xf>
    <xf numFmtId="0" fontId="22" fillId="11" borderId="41" xfId="0" applyFont="1" applyFill="1" applyBorder="1" applyAlignment="1" applyProtection="1">
      <alignment horizontal="center" vertical="center"/>
      <protection locked="0"/>
    </xf>
    <xf numFmtId="0" fontId="22" fillId="11" borderId="74" xfId="0" applyFont="1" applyFill="1" applyBorder="1" applyAlignment="1" applyProtection="1">
      <alignment horizontal="center" vertical="center"/>
      <protection locked="0"/>
    </xf>
    <xf numFmtId="0" fontId="22" fillId="11" borderId="77" xfId="0" applyFont="1" applyFill="1" applyBorder="1" applyAlignment="1" applyProtection="1">
      <alignment horizontal="center" vertical="center"/>
      <protection locked="0"/>
    </xf>
    <xf numFmtId="0" fontId="23" fillId="5" borderId="30" xfId="0" applyFont="1" applyFill="1" applyBorder="1" applyAlignment="1" applyProtection="1">
      <alignment horizontal="right"/>
      <protection locked="0"/>
    </xf>
    <xf numFmtId="0" fontId="22" fillId="0" borderId="65" xfId="0" applyFont="1" applyBorder="1" applyAlignment="1" applyProtection="1">
      <alignment horizontal="center" vertical="center"/>
      <protection locked="0"/>
    </xf>
    <xf numFmtId="0" fontId="22" fillId="0" borderId="78" xfId="0" applyFont="1" applyBorder="1" applyAlignment="1" applyProtection="1">
      <alignment horizontal="center" vertical="center"/>
      <protection locked="0"/>
    </xf>
    <xf numFmtId="0" fontId="22" fillId="0" borderId="66" xfId="0" applyFont="1" applyBorder="1" applyAlignment="1" applyProtection="1">
      <alignment horizontal="center" vertical="center"/>
      <protection locked="0"/>
    </xf>
    <xf numFmtId="0" fontId="22" fillId="11" borderId="40" xfId="0" applyFont="1" applyFill="1" applyBorder="1" applyAlignment="1" applyProtection="1">
      <alignment horizontal="center" vertical="center"/>
      <protection hidden="1"/>
    </xf>
    <xf numFmtId="1" fontId="22" fillId="11" borderId="40" xfId="0" applyNumberFormat="1" applyFont="1" applyFill="1" applyBorder="1" applyAlignment="1" applyProtection="1">
      <alignment horizontal="center" vertical="center"/>
      <protection locked="0"/>
    </xf>
    <xf numFmtId="9" fontId="22" fillId="11" borderId="40" xfId="0" applyNumberFormat="1" applyFont="1" applyFill="1" applyBorder="1" applyAlignment="1" applyProtection="1">
      <alignment horizontal="center" vertical="center"/>
      <protection locked="0"/>
    </xf>
    <xf numFmtId="1" fontId="22" fillId="11" borderId="79" xfId="0" applyNumberFormat="1" applyFont="1" applyFill="1" applyBorder="1" applyAlignment="1" applyProtection="1">
      <alignment horizontal="center" vertical="center"/>
      <protection locked="0"/>
    </xf>
    <xf numFmtId="9" fontId="22" fillId="11" borderId="79" xfId="0" applyNumberFormat="1" applyFont="1" applyFill="1" applyBorder="1" applyAlignment="1" applyProtection="1">
      <alignment horizontal="center" vertical="center"/>
      <protection locked="0"/>
    </xf>
    <xf numFmtId="0" fontId="22" fillId="11" borderId="65" xfId="0" applyFont="1" applyFill="1" applyBorder="1" applyAlignment="1" applyProtection="1">
      <alignment horizontal="center" vertical="center"/>
      <protection locked="0"/>
    </xf>
    <xf numFmtId="0" fontId="22" fillId="11" borderId="78" xfId="0" applyFont="1" applyFill="1" applyBorder="1" applyAlignment="1" applyProtection="1">
      <alignment horizontal="center" vertical="center"/>
      <protection locked="0"/>
    </xf>
    <xf numFmtId="0" fontId="22" fillId="11" borderId="80" xfId="0" applyFont="1" applyFill="1" applyBorder="1" applyAlignment="1" applyProtection="1">
      <alignment horizontal="center" vertical="center"/>
      <protection locked="0"/>
    </xf>
    <xf numFmtId="0" fontId="16" fillId="6" borderId="30" xfId="0" applyFont="1" applyFill="1" applyBorder="1" applyProtection="1">
      <protection locked="0"/>
    </xf>
    <xf numFmtId="0" fontId="16" fillId="12" borderId="30" xfId="0" applyFont="1" applyFill="1" applyBorder="1" applyProtection="1">
      <protection locked="0"/>
    </xf>
    <xf numFmtId="0" fontId="15" fillId="8" borderId="61" xfId="0" applyFont="1" applyFill="1" applyBorder="1" applyAlignment="1" applyProtection="1">
      <alignment horizontal="center"/>
      <protection locked="0"/>
    </xf>
    <xf numFmtId="0" fontId="12" fillId="5" borderId="42" xfId="0" applyFont="1" applyFill="1" applyBorder="1" applyProtection="1">
      <protection hidden="1"/>
    </xf>
    <xf numFmtId="0" fontId="24" fillId="0" borderId="81" xfId="0" applyFont="1" applyBorder="1" applyAlignment="1" applyProtection="1">
      <alignment horizontal="center" vertical="center"/>
      <protection locked="0"/>
    </xf>
    <xf numFmtId="0" fontId="24" fillId="0" borderId="82" xfId="0" applyFont="1" applyBorder="1" applyAlignment="1" applyProtection="1">
      <alignment horizontal="center" vertical="center"/>
      <protection locked="0"/>
    </xf>
    <xf numFmtId="0" fontId="24" fillId="0" borderId="83" xfId="0" applyFont="1" applyBorder="1" applyAlignment="1" applyProtection="1">
      <alignment horizontal="center" vertical="center"/>
      <protection locked="0"/>
    </xf>
    <xf numFmtId="0" fontId="25" fillId="11" borderId="84" xfId="0" applyFont="1" applyFill="1" applyBorder="1" applyAlignment="1" applyProtection="1">
      <alignment horizontal="center" vertical="center"/>
      <protection hidden="1"/>
    </xf>
    <xf numFmtId="0" fontId="25" fillId="11" borderId="85" xfId="0" applyFont="1" applyFill="1" applyBorder="1" applyAlignment="1" applyProtection="1">
      <alignment horizontal="center" vertical="center"/>
      <protection hidden="1"/>
    </xf>
    <xf numFmtId="0" fontId="25" fillId="11" borderId="86" xfId="0" applyFont="1" applyFill="1" applyBorder="1" applyAlignment="1" applyProtection="1">
      <alignment horizontal="center" vertical="center"/>
      <protection hidden="1"/>
    </xf>
    <xf numFmtId="0" fontId="25" fillId="11" borderId="87" xfId="0" applyFont="1" applyFill="1" applyBorder="1" applyAlignment="1" applyProtection="1">
      <alignment horizontal="center" vertical="center"/>
      <protection hidden="1"/>
    </xf>
    <xf numFmtId="0" fontId="25" fillId="11" borderId="88" xfId="0" applyFont="1" applyFill="1" applyBorder="1" applyAlignment="1" applyProtection="1">
      <alignment horizontal="center" vertical="center"/>
      <protection hidden="1"/>
    </xf>
    <xf numFmtId="0" fontId="25" fillId="11" borderId="89" xfId="0" applyFont="1" applyFill="1" applyBorder="1" applyAlignment="1" applyProtection="1">
      <alignment horizontal="center" vertical="center"/>
      <protection hidden="1"/>
    </xf>
    <xf numFmtId="0" fontId="25" fillId="11" borderId="90" xfId="0" applyFont="1" applyFill="1" applyBorder="1" applyAlignment="1" applyProtection="1">
      <alignment horizontal="center" vertical="center"/>
      <protection hidden="1"/>
    </xf>
    <xf numFmtId="0" fontId="25" fillId="11" borderId="91" xfId="0" applyFont="1" applyFill="1" applyBorder="1" applyAlignment="1" applyProtection="1">
      <alignment horizontal="center" vertical="center"/>
      <protection hidden="1"/>
    </xf>
    <xf numFmtId="0" fontId="25" fillId="11" borderId="92" xfId="0" applyFont="1" applyFill="1" applyBorder="1" applyAlignment="1" applyProtection="1">
      <alignment horizontal="center" vertical="center"/>
      <protection hidden="1"/>
    </xf>
    <xf numFmtId="2" fontId="25" fillId="13" borderId="72" xfId="0" applyNumberFormat="1" applyFont="1" applyFill="1" applyBorder="1" applyAlignment="1" applyProtection="1">
      <alignment horizontal="center" vertical="center"/>
      <protection hidden="1"/>
    </xf>
    <xf numFmtId="1" fontId="18" fillId="0" borderId="93" xfId="0" applyNumberFormat="1" applyFont="1" applyBorder="1" applyAlignment="1" applyProtection="1">
      <alignment horizontal="center" vertical="center"/>
      <protection hidden="1"/>
    </xf>
    <xf numFmtId="0" fontId="18" fillId="0" borderId="71" xfId="0" applyFont="1" applyBorder="1" applyAlignment="1" applyProtection="1">
      <alignment horizontal="center" vertical="center"/>
      <protection hidden="1"/>
    </xf>
    <xf numFmtId="0" fontId="24" fillId="0" borderId="94" xfId="0" applyFont="1" applyBorder="1" applyAlignment="1" applyProtection="1">
      <alignment horizontal="center" vertical="center"/>
      <protection locked="0"/>
    </xf>
    <xf numFmtId="0" fontId="24" fillId="0" borderId="95" xfId="0" applyFont="1" applyBorder="1" applyAlignment="1" applyProtection="1">
      <alignment horizontal="center" vertical="center"/>
      <protection locked="0"/>
    </xf>
    <xf numFmtId="0" fontId="24" fillId="0" borderId="96" xfId="0" applyFont="1" applyBorder="1" applyAlignment="1" applyProtection="1">
      <alignment horizontal="center" vertical="center"/>
      <protection locked="0"/>
    </xf>
    <xf numFmtId="0" fontId="25" fillId="11" borderId="97" xfId="0" applyFont="1" applyFill="1" applyBorder="1" applyAlignment="1" applyProtection="1">
      <alignment horizontal="center" vertical="center"/>
      <protection hidden="1"/>
    </xf>
    <xf numFmtId="0" fontId="25" fillId="11" borderId="98" xfId="0" applyFont="1" applyFill="1" applyBorder="1" applyAlignment="1" applyProtection="1">
      <alignment horizontal="center" vertical="center"/>
      <protection hidden="1"/>
    </xf>
    <xf numFmtId="0" fontId="25" fillId="11" borderId="48" xfId="0" applyFont="1" applyFill="1" applyBorder="1" applyAlignment="1" applyProtection="1">
      <alignment horizontal="center" vertical="center"/>
      <protection hidden="1"/>
    </xf>
    <xf numFmtId="0" fontId="25" fillId="11" borderId="99" xfId="0" applyFont="1" applyFill="1" applyBorder="1" applyAlignment="1" applyProtection="1">
      <alignment horizontal="center" vertical="center"/>
      <protection hidden="1"/>
    </xf>
    <xf numFmtId="2" fontId="25" fillId="13" borderId="100" xfId="0" applyNumberFormat="1" applyFont="1" applyFill="1" applyBorder="1" applyAlignment="1" applyProtection="1">
      <alignment horizontal="center" vertical="center"/>
      <protection hidden="1"/>
    </xf>
    <xf numFmtId="0" fontId="18" fillId="0" borderId="93" xfId="0" applyFont="1" applyBorder="1" applyAlignment="1" applyProtection="1">
      <alignment horizontal="center" vertical="center"/>
      <protection hidden="1"/>
    </xf>
    <xf numFmtId="0" fontId="12" fillId="5" borderId="42" xfId="0" applyFont="1" applyFill="1" applyBorder="1" applyAlignment="1" applyProtection="1">
      <alignment horizontal="left" vertical="center"/>
      <protection hidden="1"/>
    </xf>
    <xf numFmtId="0" fontId="24" fillId="0" borderId="101" xfId="0" applyFont="1" applyBorder="1" applyAlignment="1" applyProtection="1">
      <alignment horizontal="center" vertical="center"/>
      <protection locked="0"/>
    </xf>
    <xf numFmtId="0" fontId="24" fillId="0" borderId="102" xfId="0" applyFont="1" applyBorder="1" applyAlignment="1" applyProtection="1">
      <alignment horizontal="center" vertical="center"/>
      <protection locked="0"/>
    </xf>
    <xf numFmtId="0" fontId="24" fillId="0" borderId="103" xfId="0" applyFont="1" applyBorder="1" applyAlignment="1" applyProtection="1">
      <alignment horizontal="center" vertical="center"/>
      <protection locked="0"/>
    </xf>
    <xf numFmtId="0" fontId="16" fillId="12" borderId="1" xfId="0" applyFont="1" applyFill="1" applyBorder="1" applyProtection="1">
      <protection locked="0"/>
    </xf>
    <xf numFmtId="0" fontId="15" fillId="9" borderId="104" xfId="0" applyFont="1" applyFill="1" applyBorder="1" applyAlignment="1" applyProtection="1">
      <alignment horizontal="center"/>
      <protection locked="0"/>
    </xf>
    <xf numFmtId="0" fontId="12" fillId="5" borderId="105" xfId="0" applyFont="1" applyFill="1" applyBorder="1" applyAlignment="1" applyProtection="1">
      <alignment horizontal="left"/>
      <protection hidden="1"/>
    </xf>
    <xf numFmtId="0" fontId="0" fillId="0" borderId="105" xfId="0" applyBorder="1" applyProtection="1">
      <protection hidden="1"/>
    </xf>
    <xf numFmtId="0" fontId="25" fillId="11" borderId="106" xfId="0" applyFont="1" applyFill="1" applyBorder="1" applyAlignment="1" applyProtection="1">
      <alignment horizontal="center" vertical="center"/>
      <protection hidden="1"/>
    </xf>
    <xf numFmtId="0" fontId="25" fillId="11" borderId="107" xfId="0" applyFont="1" applyFill="1" applyBorder="1" applyAlignment="1" applyProtection="1">
      <alignment horizontal="center" vertical="center"/>
      <protection hidden="1"/>
    </xf>
    <xf numFmtId="0" fontId="25" fillId="11" borderId="108" xfId="0" applyFont="1" applyFill="1" applyBorder="1" applyAlignment="1" applyProtection="1">
      <alignment horizontal="center" vertical="center"/>
      <protection hidden="1"/>
    </xf>
    <xf numFmtId="0" fontId="25" fillId="11" borderId="109" xfId="0" applyFont="1" applyFill="1" applyBorder="1" applyAlignment="1" applyProtection="1">
      <alignment horizontal="center" vertical="center"/>
      <protection hidden="1"/>
    </xf>
    <xf numFmtId="0" fontId="25" fillId="11" borderId="110" xfId="0" applyFont="1" applyFill="1" applyBorder="1" applyAlignment="1" applyProtection="1">
      <alignment horizontal="center" vertical="center"/>
      <protection hidden="1"/>
    </xf>
    <xf numFmtId="2" fontId="25" fillId="13" borderId="111" xfId="0" applyNumberFormat="1" applyFont="1" applyFill="1" applyBorder="1" applyAlignment="1" applyProtection="1">
      <alignment horizontal="center" vertical="center"/>
      <protection hidden="1"/>
    </xf>
    <xf numFmtId="1" fontId="18" fillId="0" borderId="112" xfId="0" applyNumberFormat="1" applyFont="1" applyBorder="1" applyAlignment="1" applyProtection="1">
      <alignment horizontal="center" vertical="center"/>
      <protection hidden="1"/>
    </xf>
    <xf numFmtId="0" fontId="18" fillId="0" borderId="113" xfId="0" applyFont="1" applyBorder="1" applyAlignment="1" applyProtection="1">
      <alignment horizontal="center" vertical="center"/>
      <protection hidden="1"/>
    </xf>
    <xf numFmtId="0" fontId="15" fillId="9" borderId="114" xfId="0" applyFont="1" applyFill="1" applyBorder="1" applyAlignment="1" applyProtection="1">
      <alignment horizontal="center"/>
      <protection locked="0"/>
    </xf>
    <xf numFmtId="0" fontId="12" fillId="5" borderId="98" xfId="0" applyFont="1" applyFill="1" applyBorder="1" applyAlignment="1" applyProtection="1">
      <alignment horizontal="left"/>
      <protection hidden="1"/>
    </xf>
    <xf numFmtId="0" fontId="0" fillId="0" borderId="115" xfId="0" applyBorder="1" applyProtection="1">
      <protection hidden="1"/>
    </xf>
    <xf numFmtId="0" fontId="18" fillId="0" borderId="116" xfId="0" applyFont="1" applyBorder="1" applyAlignment="1" applyProtection="1">
      <alignment horizontal="center" vertical="center"/>
      <protection hidden="1"/>
    </xf>
    <xf numFmtId="0" fontId="15" fillId="9" borderId="117" xfId="0" applyFont="1" applyFill="1" applyBorder="1" applyAlignment="1" applyProtection="1">
      <alignment horizontal="center"/>
      <protection locked="0"/>
    </xf>
    <xf numFmtId="0" fontId="15" fillId="9" borderId="118" xfId="0" applyFont="1" applyFill="1" applyBorder="1" applyAlignment="1" applyProtection="1">
      <alignment horizontal="center"/>
      <protection locked="0"/>
    </xf>
    <xf numFmtId="0" fontId="12" fillId="5" borderId="119" xfId="0" applyFont="1" applyFill="1" applyBorder="1" applyAlignment="1" applyProtection="1">
      <alignment horizontal="left"/>
      <protection hidden="1"/>
    </xf>
    <xf numFmtId="0" fontId="0" fillId="0" borderId="120" xfId="0" applyBorder="1" applyProtection="1">
      <protection hidden="1"/>
    </xf>
    <xf numFmtId="0" fontId="25" fillId="11" borderId="121" xfId="0" applyFont="1" applyFill="1" applyBorder="1" applyAlignment="1" applyProtection="1">
      <alignment horizontal="center" vertical="center"/>
      <protection hidden="1"/>
    </xf>
    <xf numFmtId="0" fontId="25" fillId="11" borderId="122" xfId="0" applyFont="1" applyFill="1" applyBorder="1" applyAlignment="1" applyProtection="1">
      <alignment horizontal="center" vertical="center"/>
      <protection hidden="1"/>
    </xf>
    <xf numFmtId="0" fontId="25" fillId="11" borderId="119" xfId="0" applyFont="1" applyFill="1" applyBorder="1" applyAlignment="1" applyProtection="1">
      <alignment horizontal="center" vertical="center"/>
      <protection hidden="1"/>
    </xf>
    <xf numFmtId="0" fontId="25" fillId="11" borderId="123" xfId="0" applyFont="1" applyFill="1" applyBorder="1" applyAlignment="1" applyProtection="1">
      <alignment horizontal="center" vertical="center"/>
      <protection hidden="1"/>
    </xf>
    <xf numFmtId="0" fontId="25" fillId="11" borderId="124" xfId="0" applyFont="1" applyFill="1" applyBorder="1" applyAlignment="1" applyProtection="1">
      <alignment horizontal="center" vertical="center"/>
      <protection hidden="1"/>
    </xf>
    <xf numFmtId="2" fontId="25" fillId="13" borderId="125" xfId="0" applyNumberFormat="1" applyFont="1" applyFill="1" applyBorder="1" applyAlignment="1" applyProtection="1">
      <alignment horizontal="center" vertical="center"/>
      <protection hidden="1"/>
    </xf>
    <xf numFmtId="1" fontId="18" fillId="0" borderId="126" xfId="0" applyNumberFormat="1" applyFont="1" applyBorder="1" applyAlignment="1" applyProtection="1">
      <alignment horizontal="center" vertical="center"/>
      <protection hidden="1"/>
    </xf>
    <xf numFmtId="0" fontId="18" fillId="0" borderId="127" xfId="0" applyFont="1" applyBorder="1" applyAlignment="1" applyProtection="1">
      <alignment horizontal="center" vertical="center"/>
      <protection hidden="1"/>
    </xf>
    <xf numFmtId="0" fontId="26" fillId="14" borderId="0" xfId="0" applyFont="1" applyFill="1" applyAlignment="1">
      <alignment horizontal="center" vertical="center"/>
    </xf>
    <xf numFmtId="0" fontId="9" fillId="0" borderId="0" xfId="0" applyFont="1" applyBorder="1"/>
    <xf numFmtId="0" fontId="9" fillId="0" borderId="0" xfId="0" applyFont="1" applyBorder="1" applyAlignment="1">
      <alignment vertical="center"/>
    </xf>
    <xf numFmtId="0" fontId="16" fillId="6" borderId="1" xfId="0" applyFont="1" applyFill="1" applyBorder="1" applyAlignment="1">
      <alignment horizontal="center" vertical="center"/>
    </xf>
    <xf numFmtId="0" fontId="0" fillId="0" borderId="73" xfId="0" applyBorder="1"/>
    <xf numFmtId="0" fontId="0" fillId="0" borderId="72" xfId="0" applyBorder="1"/>
    <xf numFmtId="0" fontId="9" fillId="15" borderId="73" xfId="0" applyFont="1" applyFill="1" applyBorder="1"/>
    <xf numFmtId="0" fontId="9" fillId="15" borderId="0" xfId="0" applyFont="1" applyFill="1"/>
    <xf numFmtId="0" fontId="9" fillId="15" borderId="72" xfId="0" applyFont="1" applyFill="1" applyBorder="1"/>
    <xf numFmtId="0" fontId="27" fillId="13" borderId="98" xfId="0" applyFont="1" applyFill="1" applyBorder="1"/>
    <xf numFmtId="0" fontId="27" fillId="13" borderId="115" xfId="0" applyFont="1" applyFill="1" applyBorder="1" applyAlignment="1">
      <alignment horizontal="center"/>
    </xf>
    <xf numFmtId="0" fontId="12" fillId="16" borderId="84" xfId="0" applyFont="1" applyFill="1" applyBorder="1" applyAlignment="1">
      <alignment horizontal="left"/>
    </xf>
    <xf numFmtId="0" fontId="0" fillId="0" borderId="84" xfId="0" applyBorder="1"/>
    <xf numFmtId="0" fontId="16" fillId="6" borderId="97" xfId="0" applyFont="1" applyFill="1" applyBorder="1" applyAlignment="1">
      <alignment horizontal="center"/>
    </xf>
    <xf numFmtId="0" fontId="12" fillId="13" borderId="115" xfId="0" applyFont="1" applyFill="1" applyBorder="1" applyAlignment="1">
      <alignment horizontal="left"/>
    </xf>
    <xf numFmtId="0" fontId="9" fillId="13" borderId="84" xfId="0" applyFont="1" applyFill="1" applyBorder="1" applyAlignment="1">
      <alignment horizontal="left"/>
    </xf>
    <xf numFmtId="0" fontId="27" fillId="13" borderId="97" xfId="0" applyFont="1" applyFill="1" applyBorder="1" applyAlignment="1">
      <alignment horizontal="center" vertical="center"/>
    </xf>
    <xf numFmtId="0" fontId="12" fillId="13" borderId="97" xfId="0" applyFont="1" applyFill="1" applyBorder="1" applyAlignment="1">
      <alignment vertical="center"/>
    </xf>
    <xf numFmtId="0" fontId="9" fillId="15" borderId="0" xfId="0" applyFont="1" applyFill="1" applyAlignment="1">
      <alignment horizontal="left"/>
    </xf>
    <xf numFmtId="0" fontId="27" fillId="13" borderId="98" xfId="0" applyFont="1" applyFill="1" applyBorder="1" applyAlignment="1">
      <alignment vertical="center"/>
    </xf>
    <xf numFmtId="0" fontId="27" fillId="13" borderId="115" xfId="0" applyFont="1" applyFill="1" applyBorder="1" applyAlignment="1">
      <alignment horizontal="center" vertical="center"/>
    </xf>
    <xf numFmtId="0" fontId="12" fillId="13" borderId="84" xfId="0" applyFont="1" applyFill="1" applyBorder="1" applyAlignment="1">
      <alignment horizontal="left"/>
    </xf>
    <xf numFmtId="0" fontId="27" fillId="13" borderId="90" xfId="0" applyFont="1" applyFill="1" applyBorder="1" applyAlignment="1">
      <alignment vertical="center"/>
    </xf>
    <xf numFmtId="0" fontId="27" fillId="13" borderId="128" xfId="0" applyFont="1" applyFill="1" applyBorder="1" applyAlignment="1">
      <alignment horizontal="center" vertical="center"/>
    </xf>
    <xf numFmtId="0" fontId="12" fillId="13" borderId="129" xfId="0" applyFont="1" applyFill="1" applyBorder="1" applyAlignment="1">
      <alignment horizontal="left" vertical="center"/>
    </xf>
    <xf numFmtId="0" fontId="0" fillId="0" borderId="129" xfId="0" applyBorder="1"/>
    <xf numFmtId="0" fontId="9" fillId="15" borderId="38" xfId="0" applyFont="1" applyFill="1" applyBorder="1"/>
    <xf numFmtId="0" fontId="9" fillId="15" borderId="33" xfId="0" applyFont="1" applyFill="1" applyBorder="1"/>
    <xf numFmtId="0" fontId="9" fillId="15" borderId="39" xfId="0" applyFont="1" applyFill="1" applyBorder="1"/>
    <xf numFmtId="0" fontId="27" fillId="13" borderId="90" xfId="0" applyFont="1" applyFill="1" applyBorder="1"/>
    <xf numFmtId="0" fontId="27" fillId="13" borderId="128" xfId="0" applyFont="1" applyFill="1" applyBorder="1" applyAlignment="1">
      <alignment horizontal="center"/>
    </xf>
    <xf numFmtId="0" fontId="27" fillId="13" borderId="130" xfId="0" applyFont="1" applyFill="1" applyBorder="1"/>
    <xf numFmtId="0" fontId="27" fillId="13" borderId="42" xfId="0" applyFont="1" applyFill="1" applyBorder="1" applyAlignment="1">
      <alignment horizontal="center"/>
    </xf>
    <xf numFmtId="0" fontId="9" fillId="17" borderId="73" xfId="0" applyFont="1" applyFill="1" applyBorder="1"/>
    <xf numFmtId="0" fontId="28" fillId="17" borderId="0" xfId="0" applyFont="1" applyFill="1" applyAlignment="1">
      <alignment horizontal="left" vertical="center" wrapText="1"/>
    </xf>
    <xf numFmtId="0" fontId="9" fillId="17" borderId="72" xfId="0" applyFont="1" applyFill="1" applyBorder="1"/>
    <xf numFmtId="0" fontId="9" fillId="17" borderId="38" xfId="0" applyFont="1" applyFill="1" applyBorder="1"/>
    <xf numFmtId="0" fontId="9" fillId="17" borderId="33" xfId="0" applyFont="1" applyFill="1" applyBorder="1"/>
    <xf numFmtId="0" fontId="9" fillId="17" borderId="39" xfId="0" applyFont="1" applyFill="1" applyBorder="1"/>
    <xf numFmtId="0" fontId="8" fillId="18" borderId="131" xfId="0" applyFont="1" applyFill="1" applyBorder="1" applyAlignment="1">
      <alignment horizontal="center" vertical="center"/>
    </xf>
    <xf numFmtId="0" fontId="8" fillId="18" borderId="132" xfId="0" applyFont="1" applyFill="1" applyBorder="1" applyAlignment="1">
      <alignment horizontal="center" vertical="center"/>
    </xf>
    <xf numFmtId="0" fontId="8" fillId="18" borderId="133" xfId="0" applyFont="1" applyFill="1" applyBorder="1" applyAlignment="1">
      <alignment horizontal="center" vertical="center"/>
    </xf>
    <xf numFmtId="0" fontId="8" fillId="18" borderId="134" xfId="0" applyFont="1" applyFill="1" applyBorder="1" applyAlignment="1">
      <alignment horizontal="center" vertical="center"/>
    </xf>
    <xf numFmtId="0" fontId="8" fillId="18" borderId="0" xfId="0" applyFont="1" applyFill="1" applyBorder="1" applyAlignment="1">
      <alignment horizontal="center" vertical="center"/>
    </xf>
    <xf numFmtId="0" fontId="8" fillId="18" borderId="135" xfId="0" applyFont="1" applyFill="1" applyBorder="1" applyAlignment="1">
      <alignment horizontal="center" vertical="center"/>
    </xf>
    <xf numFmtId="0" fontId="8" fillId="18" borderId="136" xfId="0" applyFont="1" applyFill="1" applyBorder="1" applyAlignment="1">
      <alignment horizontal="center" vertical="center"/>
    </xf>
    <xf numFmtId="0" fontId="8" fillId="18" borderId="68" xfId="0" applyFont="1" applyFill="1" applyBorder="1" applyAlignment="1">
      <alignment horizontal="center" vertical="center"/>
    </xf>
    <xf numFmtId="0" fontId="8" fillId="18" borderId="137" xfId="0" applyFont="1" applyFill="1" applyBorder="1" applyAlignment="1">
      <alignment horizontal="center" vertical="center"/>
    </xf>
    <xf numFmtId="0" fontId="9" fillId="15" borderId="138" xfId="0" applyFont="1" applyFill="1" applyBorder="1"/>
    <xf numFmtId="0" fontId="9" fillId="15" borderId="136" xfId="0" applyFont="1" applyFill="1" applyBorder="1"/>
    <xf numFmtId="0" fontId="9" fillId="15" borderId="120" xfId="0" applyFont="1" applyFill="1" applyBorder="1"/>
    <xf numFmtId="0" fontId="9" fillId="15" borderId="68" xfId="0" applyFont="1" applyFill="1" applyBorder="1"/>
    <xf numFmtId="0" fontId="9" fillId="15" borderId="137" xfId="0" applyFont="1" applyFill="1" applyBorder="1"/>
    <xf numFmtId="0" fontId="29" fillId="0" borderId="0" xfId="0" applyFont="1" applyBorder="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1224915</xdr:colOff>
      <xdr:row>0</xdr:row>
      <xdr:rowOff>0</xdr:rowOff>
    </xdr:from>
    <xdr:ext cx="1885950" cy="962025"/>
    <xdr:pic>
      <xdr:nvPicPr>
        <xdr:cNvPr id="2" name="/xl/media/image1.png"/>
        <xdr:cNvPicPr>
          <a:picLocks noChangeAspect="1"/>
        </xdr:cNvPicPr>
      </xdr:nvPicPr>
      <xdr:blipFill>
        <a:blip r:embed="rId1"/>
        <a:stretch>
          <a:fillRect/>
        </a:stretch>
      </xdr:blipFill>
      <xdr:spPr>
        <a:xfrm>
          <a:off x="10542270" y="0"/>
          <a:ext cx="1885950" cy="962025"/>
        </a:xfrm>
        <a:prstGeom prst="rect">
          <a:avLst/>
        </a:prstGeom>
      </xdr:spPr>
    </xdr:pic>
    <xdr:clientData/>
  </xdr:oneCellAnchor>
  <xdr:oneCellAnchor>
    <xdr:from>
      <xdr:col>0</xdr:col>
      <xdr:colOff>152400</xdr:colOff>
      <xdr:row>0</xdr:row>
      <xdr:rowOff>0</xdr:rowOff>
    </xdr:from>
    <xdr:ext cx="1000125" cy="962025"/>
    <xdr:pic>
      <xdr:nvPicPr>
        <xdr:cNvPr id="3" name="/xl/media/image2.png"/>
        <xdr:cNvPicPr>
          <a:picLocks noChangeAspect="1"/>
        </xdr:cNvPicPr>
      </xdr:nvPicPr>
      <xdr:blipFill>
        <a:blip r:embed="rId2"/>
        <a:stretch>
          <a:fillRect/>
        </a:stretch>
      </xdr:blipFill>
      <xdr:spPr>
        <a:xfrm>
          <a:off x="152400" y="0"/>
          <a:ext cx="1000125" cy="96202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251460</xdr:colOff>
      <xdr:row>0</xdr:row>
      <xdr:rowOff>38100</xdr:rowOff>
    </xdr:from>
    <xdr:ext cx="754380" cy="754380"/>
    <xdr:pic>
      <xdr:nvPicPr>
        <xdr:cNvPr id="2" name="/xl/media/image9.png"/>
        <xdr:cNvPicPr>
          <a:picLocks noChangeAspect="1"/>
        </xdr:cNvPicPr>
      </xdr:nvPicPr>
      <xdr:blipFill>
        <a:blip r:embed="rId1"/>
        <a:stretch>
          <a:fillRect/>
        </a:stretch>
      </xdr:blipFill>
      <xdr:spPr>
        <a:xfrm>
          <a:off x="251460" y="38100"/>
          <a:ext cx="754380" cy="754380"/>
        </a:xfrm>
        <a:prstGeom prst="rect">
          <a:avLst/>
        </a:prstGeom>
      </xdr:spPr>
    </xdr:pic>
    <xdr:clientData/>
  </xdr:oneCellAnchor>
  <xdr:oneCellAnchor>
    <xdr:from>
      <xdr:col>9</xdr:col>
      <xdr:colOff>1135381</xdr:colOff>
      <xdr:row>0</xdr:row>
      <xdr:rowOff>0</xdr:rowOff>
    </xdr:from>
    <xdr:ext cx="1318260" cy="666217"/>
    <xdr:pic>
      <xdr:nvPicPr>
        <xdr:cNvPr id="3" name="/xl/media/image10.png"/>
        <xdr:cNvPicPr>
          <a:picLocks noChangeAspect="1"/>
        </xdr:cNvPicPr>
      </xdr:nvPicPr>
      <xdr:blipFill>
        <a:blip r:embed="rId2"/>
        <a:stretch>
          <a:fillRect/>
        </a:stretch>
      </xdr:blipFill>
      <xdr:spPr>
        <a:xfrm>
          <a:off x="8401050" y="0"/>
          <a:ext cx="1318260" cy="666115"/>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sheetPr>
  <dimension ref="A1:Q64"/>
  <sheetViews>
    <sheetView showGridLines="0" tabSelected="1" workbookViewId="0">
      <selection activeCell="B36" sqref="B36:G38"/>
    </sheetView>
  </sheetViews>
  <sheetFormatPr defaultColWidth="12.6666666666667" defaultRowHeight="12.75"/>
  <cols>
    <col min="1" max="2" width="3.88571428571429" customWidth="1"/>
    <col min="3" max="3" width="19.6666666666667" customWidth="1"/>
    <col min="4" max="4" width="2.1047619047619" customWidth="1"/>
    <col min="5" max="5" width="18.8857142857143" customWidth="1"/>
    <col min="6" max="6" width="30.3333333333333" customWidth="1"/>
    <col min="7" max="10" width="3.88571428571429" customWidth="1"/>
    <col min="11" max="11" width="37.6666666666667" customWidth="1"/>
    <col min="12" max="13" width="3.88571428571429" customWidth="1"/>
    <col min="14" max="14" width="37.6666666666667" customWidth="1"/>
    <col min="15" max="16" width="3.88571428571429" customWidth="1"/>
  </cols>
  <sheetData>
    <row r="1" customFormat="1" ht="13.2" customHeight="1" spans="1:17">
      <c r="A1" s="221" t="s">
        <v>0</v>
      </c>
      <c r="Q1" s="222"/>
    </row>
    <row r="2" customFormat="1" ht="13.2" customHeight="1" spans="1:17">
      <c r="Q2" s="222"/>
    </row>
    <row r="3" customFormat="1" ht="13.2" customHeight="1" spans="1:17">
      <c r="Q3" s="222"/>
    </row>
    <row r="4" customFormat="1" ht="13.2" customHeight="1" spans="1:17">
      <c r="Q4" s="222"/>
    </row>
    <row r="5" customFormat="1" ht="13.2" customHeight="1" spans="1:17">
      <c r="Q5" s="222"/>
    </row>
    <row r="6" customFormat="1" ht="13.2" customHeight="1" spans="1:17">
      <c r="A6" s="223"/>
      <c r="B6" s="223"/>
      <c r="C6" s="223"/>
      <c r="D6" s="223"/>
      <c r="E6" s="223"/>
      <c r="F6" s="223"/>
      <c r="G6" s="223"/>
      <c r="H6" s="223"/>
      <c r="I6" s="223"/>
      <c r="J6" s="223"/>
      <c r="K6" s="223"/>
      <c r="L6" s="223"/>
      <c r="M6" s="223"/>
      <c r="N6" s="223"/>
      <c r="O6" s="223"/>
      <c r="P6" s="223"/>
      <c r="Q6" s="222"/>
    </row>
    <row r="7" customFormat="1" ht="15.75" customHeight="1" spans="1:17">
      <c r="A7" s="223"/>
      <c r="B7" s="224" t="s">
        <v>1</v>
      </c>
      <c r="C7" s="8"/>
      <c r="D7" s="8"/>
      <c r="E7" s="8"/>
      <c r="F7" s="8"/>
      <c r="G7" s="9"/>
      <c r="H7" s="223"/>
      <c r="I7" s="224" t="s">
        <v>2</v>
      </c>
      <c r="J7" s="8"/>
      <c r="K7" s="8"/>
      <c r="L7" s="8"/>
      <c r="M7" s="8"/>
      <c r="N7" s="8"/>
      <c r="O7" s="9"/>
      <c r="P7" s="223"/>
      <c r="Q7" s="222"/>
    </row>
    <row r="8" customFormat="1" ht="15.75" customHeight="1" spans="1:17">
      <c r="A8" s="223"/>
      <c r="B8" s="225"/>
      <c r="G8" s="226"/>
      <c r="H8" s="223"/>
      <c r="I8" s="225"/>
      <c r="O8" s="226"/>
      <c r="P8" s="223"/>
      <c r="Q8" s="222"/>
    </row>
    <row r="9" customFormat="1" ht="13.2" customHeight="1" spans="1:17">
      <c r="A9" s="222"/>
      <c r="B9" s="227"/>
      <c r="C9" s="228"/>
      <c r="D9" s="228"/>
      <c r="E9" s="228"/>
      <c r="F9" s="228"/>
      <c r="G9" s="229"/>
      <c r="H9" s="222"/>
      <c r="I9" s="227"/>
      <c r="J9" s="228"/>
      <c r="K9" s="228"/>
      <c r="L9" s="228"/>
      <c r="M9" s="228"/>
      <c r="N9" s="228"/>
      <c r="O9" s="229"/>
      <c r="P9" s="222"/>
      <c r="Q9" s="222"/>
    </row>
    <row r="10" customFormat="1" ht="13.8" customHeight="1" spans="1:17">
      <c r="A10" s="222"/>
      <c r="B10" s="227"/>
      <c r="C10" s="230" t="s">
        <v>3</v>
      </c>
      <c r="D10" s="231" t="s">
        <v>4</v>
      </c>
      <c r="E10" s="232"/>
      <c r="F10" s="233"/>
      <c r="G10" s="229"/>
      <c r="H10" s="222"/>
      <c r="I10" s="227"/>
      <c r="J10" s="234" t="s">
        <v>5</v>
      </c>
      <c r="K10" s="233"/>
      <c r="L10" s="228"/>
      <c r="M10" s="234" t="s">
        <v>6</v>
      </c>
      <c r="N10" s="233"/>
      <c r="O10" s="229"/>
      <c r="P10" s="222"/>
      <c r="Q10" s="222"/>
    </row>
    <row r="11" customFormat="1" ht="13.8" customHeight="1" spans="1:17">
      <c r="A11" s="222"/>
      <c r="B11" s="227"/>
      <c r="C11" s="230" t="s">
        <v>7</v>
      </c>
      <c r="D11" s="231" t="s">
        <v>4</v>
      </c>
      <c r="E11" s="235"/>
      <c r="F11" s="236"/>
      <c r="G11" s="229"/>
      <c r="H11" s="222"/>
      <c r="I11" s="227"/>
      <c r="J11" s="237">
        <v>1</v>
      </c>
      <c r="K11" s="238"/>
      <c r="L11" s="228"/>
      <c r="M11" s="237">
        <v>1</v>
      </c>
      <c r="N11" s="238"/>
      <c r="O11" s="229"/>
      <c r="P11" s="222"/>
      <c r="Q11" s="222"/>
    </row>
    <row r="12" customFormat="1" ht="13.8" customHeight="1" spans="1:17">
      <c r="A12" s="222"/>
      <c r="B12" s="227"/>
      <c r="C12" s="228"/>
      <c r="D12" s="228"/>
      <c r="E12" s="239"/>
      <c r="F12" s="239"/>
      <c r="G12" s="229"/>
      <c r="H12" s="222"/>
      <c r="I12" s="227"/>
      <c r="J12" s="237">
        <v>2</v>
      </c>
      <c r="K12" s="238"/>
      <c r="L12" s="228"/>
      <c r="M12" s="237">
        <v>2</v>
      </c>
      <c r="N12" s="238"/>
      <c r="O12" s="229"/>
      <c r="P12" s="222"/>
      <c r="Q12" s="222"/>
    </row>
    <row r="13" customFormat="1" ht="13.8" customHeight="1" spans="1:17">
      <c r="A13" s="222"/>
      <c r="B13" s="227"/>
      <c r="C13" s="240" t="s">
        <v>8</v>
      </c>
      <c r="D13" s="241" t="s">
        <v>4</v>
      </c>
      <c r="E13" s="242"/>
      <c r="F13" s="233"/>
      <c r="G13" s="229"/>
      <c r="H13" s="222"/>
      <c r="I13" s="227"/>
      <c r="J13" s="237">
        <v>3</v>
      </c>
      <c r="K13" s="238"/>
      <c r="L13" s="228"/>
      <c r="M13" s="237">
        <v>3</v>
      </c>
      <c r="N13" s="238"/>
      <c r="O13" s="229"/>
      <c r="P13" s="222"/>
      <c r="Q13" s="222"/>
    </row>
    <row r="14" customFormat="1" ht="13.8" customHeight="1" spans="1:17">
      <c r="A14" s="222"/>
      <c r="B14" s="227"/>
      <c r="C14" s="243" t="s">
        <v>9</v>
      </c>
      <c r="D14" s="244" t="s">
        <v>4</v>
      </c>
      <c r="E14" s="245" t="s">
        <v>10</v>
      </c>
      <c r="F14" s="246"/>
      <c r="G14" s="229"/>
      <c r="H14" s="222"/>
      <c r="I14" s="227"/>
      <c r="J14" s="237">
        <v>4</v>
      </c>
      <c r="K14" s="238"/>
      <c r="L14" s="228"/>
      <c r="M14" s="237">
        <v>4</v>
      </c>
      <c r="N14" s="238"/>
      <c r="O14" s="229"/>
      <c r="P14" s="222"/>
      <c r="Q14" s="222"/>
    </row>
    <row r="15" customFormat="1" ht="13.8" customHeight="1" spans="1:17">
      <c r="A15" s="222"/>
      <c r="B15" s="227"/>
      <c r="C15" s="240" t="s">
        <v>11</v>
      </c>
      <c r="D15" s="241" t="s">
        <v>4</v>
      </c>
      <c r="E15" s="232"/>
      <c r="F15" s="233"/>
      <c r="G15" s="229"/>
      <c r="H15" s="222"/>
      <c r="I15" s="227"/>
      <c r="J15" s="237">
        <v>5</v>
      </c>
      <c r="K15" s="238"/>
      <c r="L15" s="228"/>
      <c r="M15" s="237">
        <v>5</v>
      </c>
      <c r="N15" s="238"/>
      <c r="O15" s="229"/>
      <c r="P15" s="222"/>
      <c r="Q15" s="222"/>
    </row>
    <row r="16" customFormat="1" ht="13.8" customHeight="1" spans="1:17">
      <c r="A16" s="222"/>
      <c r="B16" s="227"/>
      <c r="C16" s="240" t="s">
        <v>12</v>
      </c>
      <c r="D16" s="241" t="s">
        <v>4</v>
      </c>
      <c r="E16" s="242"/>
      <c r="F16" s="233"/>
      <c r="G16" s="229"/>
      <c r="H16" s="222"/>
      <c r="I16" s="227"/>
      <c r="J16" s="237">
        <v>6</v>
      </c>
      <c r="K16" s="238"/>
      <c r="L16" s="228"/>
      <c r="M16" s="237">
        <v>6</v>
      </c>
      <c r="N16" s="238"/>
      <c r="O16" s="229"/>
      <c r="P16" s="222"/>
      <c r="Q16" s="222"/>
    </row>
    <row r="17" customFormat="1" ht="14.4" customHeight="1" spans="1:17">
      <c r="A17" s="222"/>
      <c r="B17" s="247"/>
      <c r="C17" s="248"/>
      <c r="D17" s="248"/>
      <c r="E17" s="248"/>
      <c r="F17" s="248"/>
      <c r="G17" s="249"/>
      <c r="H17" s="222"/>
      <c r="I17" s="227"/>
      <c r="J17" s="237">
        <v>7</v>
      </c>
      <c r="K17" s="238"/>
      <c r="L17" s="228"/>
      <c r="M17" s="237">
        <v>7</v>
      </c>
      <c r="N17" s="238"/>
      <c r="O17" s="229"/>
      <c r="P17" s="222"/>
      <c r="Q17" s="222"/>
    </row>
    <row r="18" customFormat="1" ht="13.8" customHeight="1" spans="1:17">
      <c r="A18" s="222"/>
      <c r="B18" s="222"/>
      <c r="C18" s="222"/>
      <c r="D18" s="222"/>
      <c r="E18" s="222"/>
      <c r="F18" s="222"/>
      <c r="G18" s="222"/>
      <c r="H18" s="222"/>
      <c r="I18" s="227"/>
      <c r="J18" s="237">
        <v>8</v>
      </c>
      <c r="K18" s="238"/>
      <c r="L18" s="228"/>
      <c r="M18" s="237">
        <v>8</v>
      </c>
      <c r="N18" s="238"/>
      <c r="O18" s="229"/>
      <c r="P18" s="222"/>
      <c r="Q18" s="222"/>
    </row>
    <row r="19" customFormat="1" ht="14.4" customHeight="1" spans="1:17">
      <c r="A19" s="222"/>
      <c r="B19" s="222"/>
      <c r="C19" s="222"/>
      <c r="D19" s="222"/>
      <c r="E19" s="222"/>
      <c r="F19" s="222"/>
      <c r="G19" s="222"/>
      <c r="H19" s="222"/>
      <c r="I19" s="227"/>
      <c r="J19" s="237">
        <v>9</v>
      </c>
      <c r="K19" s="238"/>
      <c r="L19" s="228"/>
      <c r="M19" s="237">
        <v>9</v>
      </c>
      <c r="N19" s="238"/>
      <c r="O19" s="229"/>
      <c r="P19" s="222"/>
      <c r="Q19" s="222"/>
    </row>
    <row r="20" customFormat="1" ht="13.8" customHeight="1" spans="1:17">
      <c r="A20" s="222"/>
      <c r="B20" s="224" t="s">
        <v>13</v>
      </c>
      <c r="C20" s="8"/>
      <c r="D20" s="8"/>
      <c r="E20" s="8"/>
      <c r="F20" s="8"/>
      <c r="G20" s="9"/>
      <c r="H20" s="222"/>
      <c r="I20" s="227"/>
      <c r="J20" s="237">
        <v>10</v>
      </c>
      <c r="K20" s="238"/>
      <c r="L20" s="228"/>
      <c r="M20" s="237">
        <v>10</v>
      </c>
      <c r="N20" s="238"/>
      <c r="O20" s="229"/>
      <c r="P20" s="222"/>
      <c r="Q20" s="222"/>
    </row>
    <row r="21" customFormat="1" ht="13.8" customHeight="1" spans="1:17">
      <c r="A21" s="222"/>
      <c r="B21" s="225"/>
      <c r="G21" s="226"/>
      <c r="H21" s="222"/>
      <c r="I21" s="227"/>
      <c r="J21" s="237">
        <v>11</v>
      </c>
      <c r="K21" s="238"/>
      <c r="L21" s="228"/>
      <c r="M21" s="237">
        <v>11</v>
      </c>
      <c r="N21" s="238"/>
      <c r="O21" s="229"/>
      <c r="P21" s="222"/>
      <c r="Q21" s="222"/>
    </row>
    <row r="22" customFormat="1" ht="13.8" customHeight="1" spans="1:17">
      <c r="A22" s="222"/>
      <c r="B22" s="227"/>
      <c r="C22" s="228"/>
      <c r="D22" s="228"/>
      <c r="E22" s="228"/>
      <c r="F22" s="228"/>
      <c r="G22" s="229"/>
      <c r="H22" s="222"/>
      <c r="I22" s="227"/>
      <c r="J22" s="237">
        <v>12</v>
      </c>
      <c r="K22" s="238"/>
      <c r="L22" s="228"/>
      <c r="M22" s="237">
        <v>12</v>
      </c>
      <c r="N22" s="238"/>
      <c r="O22" s="229"/>
      <c r="P22" s="222"/>
      <c r="Q22" s="222"/>
    </row>
    <row r="23" customFormat="1" ht="13.8" customHeight="1" spans="1:17">
      <c r="A23" s="222"/>
      <c r="B23" s="227"/>
      <c r="C23" s="250" t="s">
        <v>14</v>
      </c>
      <c r="D23" s="251" t="s">
        <v>4</v>
      </c>
      <c r="E23" s="242"/>
      <c r="F23" s="233"/>
      <c r="G23" s="229"/>
      <c r="H23" s="222"/>
      <c r="I23" s="227"/>
      <c r="J23" s="237">
        <v>13</v>
      </c>
      <c r="K23" s="238"/>
      <c r="L23" s="228"/>
      <c r="M23" s="237">
        <v>13</v>
      </c>
      <c r="N23" s="238"/>
      <c r="O23" s="229"/>
      <c r="P23" s="222"/>
      <c r="Q23" s="222"/>
    </row>
    <row r="24" customFormat="1" ht="13.8" customHeight="1" spans="1:17">
      <c r="A24" s="222"/>
      <c r="B24" s="227"/>
      <c r="C24" s="250" t="s">
        <v>15</v>
      </c>
      <c r="D24" s="251" t="s">
        <v>4</v>
      </c>
      <c r="E24" s="232" t="s">
        <v>16</v>
      </c>
      <c r="F24" s="233"/>
      <c r="G24" s="229"/>
      <c r="H24" s="222"/>
      <c r="I24" s="227"/>
      <c r="J24" s="237">
        <v>14</v>
      </c>
      <c r="K24" s="238"/>
      <c r="L24" s="228"/>
      <c r="M24" s="237">
        <v>14</v>
      </c>
      <c r="N24" s="238"/>
      <c r="O24" s="229"/>
      <c r="P24" s="222"/>
      <c r="Q24" s="222"/>
    </row>
    <row r="25" customFormat="1" ht="15.75" customHeight="1" spans="1:17">
      <c r="A25" s="222"/>
      <c r="B25" s="227"/>
      <c r="C25" s="230" t="s">
        <v>17</v>
      </c>
      <c r="D25" s="231" t="s">
        <v>4</v>
      </c>
      <c r="E25" s="242"/>
      <c r="F25" s="233"/>
      <c r="G25" s="229"/>
      <c r="H25" s="222"/>
      <c r="I25" s="227"/>
      <c r="J25" s="237">
        <v>15</v>
      </c>
      <c r="K25" s="238"/>
      <c r="L25" s="228"/>
      <c r="M25" s="237">
        <v>15</v>
      </c>
      <c r="N25" s="238"/>
      <c r="O25" s="229"/>
      <c r="P25" s="222"/>
      <c r="Q25" s="222"/>
    </row>
    <row r="26" customFormat="1" ht="13.8" customHeight="1" spans="1:17">
      <c r="A26" s="222"/>
      <c r="B26" s="227"/>
      <c r="C26" s="252" t="s">
        <v>18</v>
      </c>
      <c r="D26" s="253" t="s">
        <v>4</v>
      </c>
      <c r="E26" s="242"/>
      <c r="F26" s="233"/>
      <c r="G26" s="229"/>
      <c r="H26" s="222"/>
      <c r="I26" s="227"/>
      <c r="J26" s="237">
        <v>16</v>
      </c>
      <c r="K26" s="238"/>
      <c r="L26" s="228"/>
      <c r="M26" s="237">
        <v>16</v>
      </c>
      <c r="N26" s="238"/>
      <c r="O26" s="229"/>
      <c r="P26" s="222"/>
      <c r="Q26" s="222"/>
    </row>
    <row r="27" customFormat="1" ht="13.8" customHeight="1" spans="1:17">
      <c r="A27" s="222"/>
      <c r="B27" s="227"/>
      <c r="C27" s="228"/>
      <c r="D27" s="228"/>
      <c r="E27" s="228"/>
      <c r="F27" s="228"/>
      <c r="G27" s="229"/>
      <c r="H27" s="222"/>
      <c r="I27" s="227"/>
      <c r="J27" s="237">
        <v>17</v>
      </c>
      <c r="K27" s="238"/>
      <c r="L27" s="228"/>
      <c r="M27" s="237">
        <v>17</v>
      </c>
      <c r="N27" s="238"/>
      <c r="O27" s="229"/>
      <c r="P27" s="222"/>
      <c r="Q27" s="222"/>
    </row>
    <row r="28" customFormat="1" ht="13.95" customHeight="1" spans="1:17">
      <c r="A28" s="222"/>
      <c r="B28" s="254"/>
      <c r="C28" s="255" t="s">
        <v>19</v>
      </c>
      <c r="G28" s="256"/>
      <c r="H28" s="222"/>
      <c r="I28" s="227"/>
      <c r="J28" s="237">
        <v>18</v>
      </c>
      <c r="K28" s="238"/>
      <c r="L28" s="228"/>
      <c r="M28" s="237">
        <v>18</v>
      </c>
      <c r="N28" s="238"/>
      <c r="O28" s="229"/>
      <c r="P28" s="222"/>
      <c r="Q28" s="222"/>
    </row>
    <row r="29" customFormat="1" ht="13.8" customHeight="1" spans="1:17">
      <c r="A29" s="222"/>
      <c r="B29" s="254"/>
      <c r="G29" s="256"/>
      <c r="H29" s="222"/>
      <c r="I29" s="227"/>
      <c r="J29" s="237">
        <v>19</v>
      </c>
      <c r="K29" s="238"/>
      <c r="L29" s="228"/>
      <c r="M29" s="237">
        <v>19</v>
      </c>
      <c r="N29" s="238"/>
      <c r="O29" s="229"/>
      <c r="P29" s="222"/>
      <c r="Q29" s="222"/>
    </row>
    <row r="30" customFormat="1" ht="13.8" customHeight="1" spans="1:17">
      <c r="A30" s="222"/>
      <c r="B30" s="254"/>
      <c r="G30" s="256"/>
      <c r="H30" s="222"/>
      <c r="I30" s="227"/>
      <c r="J30" s="237">
        <v>20</v>
      </c>
      <c r="K30" s="238"/>
      <c r="L30" s="228"/>
      <c r="M30" s="237">
        <v>20</v>
      </c>
      <c r="N30" s="238"/>
      <c r="O30" s="229"/>
      <c r="P30" s="222"/>
      <c r="Q30" s="222"/>
    </row>
    <row r="31" customFormat="1" ht="13.8" customHeight="1" spans="1:17">
      <c r="A31" s="222"/>
      <c r="B31" s="254"/>
      <c r="G31" s="256"/>
      <c r="H31" s="222"/>
      <c r="I31" s="227"/>
      <c r="J31" s="237">
        <v>21</v>
      </c>
      <c r="K31" s="238"/>
      <c r="L31" s="228"/>
      <c r="M31" s="237">
        <v>21</v>
      </c>
      <c r="N31" s="238"/>
      <c r="O31" s="229"/>
      <c r="P31" s="222"/>
      <c r="Q31" s="222"/>
    </row>
    <row r="32" customFormat="1" ht="14.4" customHeight="1" spans="1:17">
      <c r="A32" s="222"/>
      <c r="B32" s="257"/>
      <c r="C32" s="258"/>
      <c r="D32" s="258"/>
      <c r="E32" s="258"/>
      <c r="F32" s="258"/>
      <c r="G32" s="259"/>
      <c r="H32" s="222"/>
      <c r="I32" s="227"/>
      <c r="J32" s="237">
        <v>22</v>
      </c>
      <c r="K32" s="238"/>
      <c r="L32" s="228"/>
      <c r="M32" s="237">
        <v>22</v>
      </c>
      <c r="N32" s="238"/>
      <c r="O32" s="229"/>
      <c r="P32" s="222"/>
      <c r="Q32" s="222"/>
    </row>
    <row r="33" customFormat="1" ht="13.8" customHeight="1" spans="1:17">
      <c r="A33" s="222"/>
      <c r="B33" s="222"/>
      <c r="C33" s="222"/>
      <c r="D33" s="222"/>
      <c r="E33" s="222"/>
      <c r="F33" s="222"/>
      <c r="G33" s="222"/>
      <c r="H33" s="222"/>
      <c r="I33" s="227"/>
      <c r="J33" s="237">
        <v>23</v>
      </c>
      <c r="K33" s="238"/>
      <c r="L33" s="228"/>
      <c r="M33" s="237">
        <v>23</v>
      </c>
      <c r="N33" s="238"/>
      <c r="O33" s="229"/>
      <c r="P33" s="222"/>
      <c r="Q33" s="222"/>
    </row>
    <row r="34" customFormat="1" ht="13.8" customHeight="1" spans="1:17">
      <c r="A34" s="222"/>
      <c r="B34" s="222"/>
      <c r="C34" s="222"/>
      <c r="D34" s="222"/>
      <c r="E34" s="222"/>
      <c r="F34" s="222"/>
      <c r="G34" s="222"/>
      <c r="H34" s="222"/>
      <c r="I34" s="227"/>
      <c r="J34" s="237">
        <v>24</v>
      </c>
      <c r="K34" s="238"/>
      <c r="L34" s="228"/>
      <c r="M34" s="237">
        <v>24</v>
      </c>
      <c r="N34" s="238"/>
      <c r="O34" s="229"/>
      <c r="P34" s="222"/>
      <c r="Q34" s="222"/>
    </row>
    <row r="35" customFormat="1" ht="13.8" customHeight="1" spans="1:17">
      <c r="A35" s="222"/>
      <c r="B35" s="222"/>
      <c r="C35" s="222"/>
      <c r="D35" s="222"/>
      <c r="E35" s="222"/>
      <c r="F35" s="222"/>
      <c r="G35" s="222"/>
      <c r="H35" s="222"/>
      <c r="I35" s="227"/>
      <c r="J35" s="237">
        <v>25</v>
      </c>
      <c r="K35" s="238"/>
      <c r="L35" s="228"/>
      <c r="M35" s="237">
        <v>25</v>
      </c>
      <c r="N35" s="238"/>
      <c r="O35" s="229"/>
      <c r="P35" s="222"/>
      <c r="Q35" s="222"/>
    </row>
    <row r="36" customFormat="1" ht="13.8" customHeight="1" spans="1:17">
      <c r="A36" s="222"/>
      <c r="B36" s="260"/>
      <c r="C36" s="261"/>
      <c r="D36" s="261"/>
      <c r="E36" s="261"/>
      <c r="F36" s="261"/>
      <c r="G36" s="262"/>
      <c r="H36" s="222"/>
      <c r="I36" s="227"/>
      <c r="J36" s="237">
        <v>26</v>
      </c>
      <c r="K36" s="238"/>
      <c r="L36" s="228"/>
      <c r="M36" s="237">
        <v>26</v>
      </c>
      <c r="N36" s="238"/>
      <c r="O36" s="229"/>
      <c r="P36" s="222"/>
      <c r="Q36" s="222"/>
    </row>
    <row r="37" customFormat="1" ht="13.8" customHeight="1" spans="1:17">
      <c r="A37" s="222"/>
      <c r="B37" s="263"/>
      <c r="C37" s="264"/>
      <c r="D37" s="264"/>
      <c r="E37" s="264"/>
      <c r="F37" s="264"/>
      <c r="G37" s="265"/>
      <c r="H37" s="222"/>
      <c r="I37" s="227"/>
      <c r="J37" s="237">
        <v>27</v>
      </c>
      <c r="K37" s="238"/>
      <c r="L37" s="228"/>
      <c r="M37" s="237">
        <v>27</v>
      </c>
      <c r="N37" s="238"/>
      <c r="O37" s="229"/>
      <c r="P37" s="222"/>
      <c r="Q37" s="222"/>
    </row>
    <row r="38" customFormat="1" ht="13.8" customHeight="1" spans="1:17">
      <c r="A38" s="222"/>
      <c r="B38" s="266"/>
      <c r="C38" s="267"/>
      <c r="D38" s="267"/>
      <c r="E38" s="267"/>
      <c r="F38" s="267"/>
      <c r="G38" s="268"/>
      <c r="H38" s="222"/>
      <c r="I38" s="227"/>
      <c r="J38" s="237">
        <v>28</v>
      </c>
      <c r="K38" s="238"/>
      <c r="L38" s="228"/>
      <c r="M38" s="237">
        <v>28</v>
      </c>
      <c r="N38" s="238"/>
      <c r="O38" s="229"/>
      <c r="P38" s="222"/>
      <c r="Q38" s="222"/>
    </row>
    <row r="39" customFormat="1" ht="13.8" customHeight="1" spans="1:17">
      <c r="A39" s="222"/>
      <c r="B39" s="222"/>
      <c r="C39" s="222"/>
      <c r="D39" s="222"/>
      <c r="E39" s="222"/>
      <c r="F39" s="222"/>
      <c r="G39" s="222"/>
      <c r="H39" s="222"/>
      <c r="I39" s="227"/>
      <c r="J39" s="237">
        <v>29</v>
      </c>
      <c r="K39" s="238"/>
      <c r="L39" s="228"/>
      <c r="M39" s="237">
        <v>29</v>
      </c>
      <c r="N39" s="238"/>
      <c r="O39" s="229"/>
      <c r="P39" s="222"/>
      <c r="Q39" s="222"/>
    </row>
    <row r="40" customFormat="1" ht="13.8" customHeight="1" spans="1:17">
      <c r="A40" s="222"/>
      <c r="B40" s="222"/>
      <c r="C40" s="222"/>
      <c r="D40" s="222"/>
      <c r="E40" s="222"/>
      <c r="F40" s="222"/>
      <c r="G40" s="222"/>
      <c r="H40" s="222"/>
      <c r="I40" s="227"/>
      <c r="J40" s="237">
        <v>30</v>
      </c>
      <c r="K40" s="238"/>
      <c r="L40" s="228"/>
      <c r="M40" s="237">
        <v>30</v>
      </c>
      <c r="N40" s="238"/>
      <c r="O40" s="229"/>
      <c r="P40" s="222"/>
      <c r="Q40" s="222"/>
    </row>
    <row r="41" customFormat="1" ht="13.8" customHeight="1" spans="1:17">
      <c r="A41" s="222"/>
      <c r="B41" s="222"/>
      <c r="C41" s="222"/>
      <c r="D41" s="222"/>
      <c r="E41" s="222"/>
      <c r="F41" s="222"/>
      <c r="G41" s="222"/>
      <c r="H41" s="222"/>
      <c r="I41" s="227"/>
      <c r="J41" s="237">
        <v>31</v>
      </c>
      <c r="K41" s="238"/>
      <c r="L41" s="228"/>
      <c r="M41" s="237">
        <v>31</v>
      </c>
      <c r="N41" s="238"/>
      <c r="O41" s="229"/>
      <c r="P41" s="222"/>
      <c r="Q41" s="222"/>
    </row>
    <row r="42" customFormat="1" ht="13.8" customHeight="1" spans="1:17">
      <c r="A42" s="222"/>
      <c r="B42" s="222"/>
      <c r="C42" s="222"/>
      <c r="D42" s="222"/>
      <c r="E42" s="222"/>
      <c r="F42" s="222"/>
      <c r="G42" s="222"/>
      <c r="H42" s="222"/>
      <c r="I42" s="227"/>
      <c r="J42" s="237">
        <v>32</v>
      </c>
      <c r="K42" s="238"/>
      <c r="L42" s="228"/>
      <c r="M42" s="237">
        <v>32</v>
      </c>
      <c r="N42" s="238"/>
      <c r="O42" s="229"/>
      <c r="P42" s="222"/>
      <c r="Q42" s="222"/>
    </row>
    <row r="43" customFormat="1" ht="13.8" customHeight="1" spans="1:17">
      <c r="A43" s="222"/>
      <c r="B43" s="222"/>
      <c r="C43" s="222"/>
      <c r="D43" s="222"/>
      <c r="E43" s="222"/>
      <c r="F43" s="222"/>
      <c r="G43" s="222"/>
      <c r="H43" s="222"/>
      <c r="I43" s="227"/>
      <c r="J43" s="237">
        <v>33</v>
      </c>
      <c r="K43" s="238"/>
      <c r="L43" s="228"/>
      <c r="M43" s="237">
        <v>33</v>
      </c>
      <c r="N43" s="238"/>
      <c r="O43" s="229"/>
      <c r="P43" s="222"/>
      <c r="Q43" s="222"/>
    </row>
    <row r="44" customFormat="1" ht="13.8" customHeight="1" spans="1:17">
      <c r="A44" s="222"/>
      <c r="B44" s="222"/>
      <c r="C44" s="222"/>
      <c r="D44" s="222"/>
      <c r="E44" s="222"/>
      <c r="F44" s="222"/>
      <c r="G44" s="222"/>
      <c r="H44" s="222"/>
      <c r="I44" s="227"/>
      <c r="J44" s="237">
        <v>34</v>
      </c>
      <c r="K44" s="238"/>
      <c r="L44" s="228"/>
      <c r="M44" s="237">
        <v>34</v>
      </c>
      <c r="N44" s="238"/>
      <c r="O44" s="229"/>
      <c r="P44" s="222"/>
      <c r="Q44" s="222"/>
    </row>
    <row r="45" customFormat="1" ht="13.8" customHeight="1" spans="1:17">
      <c r="A45" s="222"/>
      <c r="B45" s="222"/>
      <c r="C45" s="222"/>
      <c r="D45" s="222"/>
      <c r="E45" s="222"/>
      <c r="F45" s="222"/>
      <c r="G45" s="222"/>
      <c r="H45" s="222"/>
      <c r="I45" s="227"/>
      <c r="J45" s="237">
        <v>35</v>
      </c>
      <c r="K45" s="238"/>
      <c r="L45" s="228"/>
      <c r="M45" s="237">
        <v>35</v>
      </c>
      <c r="N45" s="238"/>
      <c r="O45" s="229"/>
      <c r="P45" s="222"/>
      <c r="Q45" s="222"/>
    </row>
    <row r="46" customFormat="1" ht="13.8" customHeight="1" spans="1:17">
      <c r="A46" s="222"/>
      <c r="B46" s="222"/>
      <c r="C46" s="222"/>
      <c r="D46" s="222"/>
      <c r="E46" s="222"/>
      <c r="F46" s="222"/>
      <c r="G46" s="222"/>
      <c r="H46" s="222"/>
      <c r="I46" s="227"/>
      <c r="J46" s="237">
        <v>36</v>
      </c>
      <c r="K46" s="238"/>
      <c r="L46" s="228"/>
      <c r="M46" s="237">
        <v>36</v>
      </c>
      <c r="N46" s="238"/>
      <c r="O46" s="229"/>
      <c r="P46" s="222"/>
      <c r="Q46" s="222"/>
    </row>
    <row r="47" customFormat="1" ht="13.8" customHeight="1" spans="1:17">
      <c r="A47" s="222"/>
      <c r="B47" s="222"/>
      <c r="C47" s="222"/>
      <c r="D47" s="222"/>
      <c r="E47" s="222"/>
      <c r="F47" s="222"/>
      <c r="G47" s="222"/>
      <c r="H47" s="222"/>
      <c r="I47" s="227"/>
      <c r="J47" s="237">
        <v>37</v>
      </c>
      <c r="K47" s="238"/>
      <c r="L47" s="228"/>
      <c r="M47" s="237">
        <v>37</v>
      </c>
      <c r="N47" s="238"/>
      <c r="O47" s="229"/>
      <c r="P47" s="222"/>
      <c r="Q47" s="222"/>
    </row>
    <row r="48" customFormat="1" ht="13.8" customHeight="1" spans="1:17">
      <c r="A48" s="222"/>
      <c r="B48" s="222"/>
      <c r="C48" s="222"/>
      <c r="D48" s="222"/>
      <c r="E48" s="222"/>
      <c r="F48" s="222"/>
      <c r="G48" s="222"/>
      <c r="H48" s="222"/>
      <c r="I48" s="227"/>
      <c r="J48" s="237">
        <v>38</v>
      </c>
      <c r="K48" s="238"/>
      <c r="L48" s="228"/>
      <c r="M48" s="237">
        <v>38</v>
      </c>
      <c r="N48" s="238"/>
      <c r="O48" s="229"/>
      <c r="P48" s="222"/>
      <c r="Q48" s="222"/>
    </row>
    <row r="49" customFormat="1" ht="13.8" customHeight="1" spans="1:17">
      <c r="A49" s="222"/>
      <c r="B49" s="222"/>
      <c r="C49" s="222"/>
      <c r="D49" s="222"/>
      <c r="E49" s="222"/>
      <c r="F49" s="222"/>
      <c r="G49" s="222"/>
      <c r="H49" s="222"/>
      <c r="I49" s="227"/>
      <c r="J49" s="237">
        <v>39</v>
      </c>
      <c r="K49" s="238"/>
      <c r="L49" s="228"/>
      <c r="M49" s="237">
        <v>39</v>
      </c>
      <c r="N49" s="238"/>
      <c r="O49" s="229"/>
      <c r="P49" s="222"/>
      <c r="Q49" s="222"/>
    </row>
    <row r="50" customFormat="1" ht="13.8" customHeight="1" spans="1:17">
      <c r="A50" s="222"/>
      <c r="B50" s="222"/>
      <c r="C50" s="222"/>
      <c r="D50" s="222"/>
      <c r="E50" s="222"/>
      <c r="F50" s="222"/>
      <c r="G50" s="222"/>
      <c r="H50" s="222"/>
      <c r="I50" s="227"/>
      <c r="J50" s="237">
        <v>40</v>
      </c>
      <c r="K50" s="238"/>
      <c r="L50" s="228"/>
      <c r="M50" s="237">
        <v>40</v>
      </c>
      <c r="N50" s="238"/>
      <c r="O50" s="229"/>
      <c r="P50" s="222"/>
      <c r="Q50" s="222"/>
    </row>
    <row r="51" customFormat="1" ht="13.8" customHeight="1" spans="1:17">
      <c r="A51" s="222"/>
      <c r="B51" s="222"/>
      <c r="C51" s="222"/>
      <c r="D51" s="222"/>
      <c r="E51" s="222"/>
      <c r="F51" s="222"/>
      <c r="G51" s="222"/>
      <c r="H51" s="222"/>
      <c r="I51" s="227"/>
      <c r="J51" s="237">
        <v>41</v>
      </c>
      <c r="K51" s="238"/>
      <c r="L51" s="228"/>
      <c r="M51" s="237">
        <v>41</v>
      </c>
      <c r="N51" s="238"/>
      <c r="O51" s="229"/>
      <c r="P51" s="222"/>
      <c r="Q51" s="222"/>
    </row>
    <row r="52" customFormat="1" ht="13.8" customHeight="1" spans="1:17">
      <c r="A52" s="222"/>
      <c r="B52" s="222"/>
      <c r="C52" s="222"/>
      <c r="D52" s="222"/>
      <c r="E52" s="222"/>
      <c r="F52" s="222"/>
      <c r="G52" s="222"/>
      <c r="H52" s="222"/>
      <c r="I52" s="227"/>
      <c r="J52" s="237">
        <v>42</v>
      </c>
      <c r="K52" s="238"/>
      <c r="L52" s="228"/>
      <c r="M52" s="237">
        <v>42</v>
      </c>
      <c r="N52" s="238"/>
      <c r="O52" s="229"/>
      <c r="P52" s="222"/>
      <c r="Q52" s="222"/>
    </row>
    <row r="53" customFormat="1" ht="13.8" customHeight="1" spans="1:17">
      <c r="A53" s="222"/>
      <c r="B53" s="222"/>
      <c r="C53" s="222"/>
      <c r="D53" s="222"/>
      <c r="E53" s="222"/>
      <c r="F53" s="222"/>
      <c r="G53" s="222"/>
      <c r="H53" s="222"/>
      <c r="I53" s="227"/>
      <c r="J53" s="237">
        <v>43</v>
      </c>
      <c r="K53" s="238"/>
      <c r="L53" s="228"/>
      <c r="M53" s="237">
        <v>43</v>
      </c>
      <c r="N53" s="238"/>
      <c r="O53" s="229"/>
      <c r="P53" s="222"/>
      <c r="Q53" s="222"/>
    </row>
    <row r="54" customFormat="1" ht="13.8" customHeight="1" spans="1:17">
      <c r="A54" s="222"/>
      <c r="B54" s="222"/>
      <c r="C54" s="222"/>
      <c r="D54" s="222"/>
      <c r="E54" s="222"/>
      <c r="F54" s="222"/>
      <c r="G54" s="222"/>
      <c r="H54" s="222"/>
      <c r="I54" s="227"/>
      <c r="J54" s="237">
        <v>44</v>
      </c>
      <c r="K54" s="238"/>
      <c r="L54" s="228"/>
      <c r="M54" s="237">
        <v>44</v>
      </c>
      <c r="N54" s="238"/>
      <c r="O54" s="229"/>
      <c r="P54" s="222"/>
      <c r="Q54" s="222"/>
    </row>
    <row r="55" customFormat="1" ht="13.8" customHeight="1" spans="1:17">
      <c r="A55" s="222"/>
      <c r="B55" s="222"/>
      <c r="C55" s="222"/>
      <c r="D55" s="222"/>
      <c r="E55" s="222"/>
      <c r="F55" s="222"/>
      <c r="G55" s="222"/>
      <c r="H55" s="222"/>
      <c r="I55" s="227"/>
      <c r="J55" s="237">
        <v>45</v>
      </c>
      <c r="K55" s="238"/>
      <c r="L55" s="228"/>
      <c r="M55" s="237">
        <v>45</v>
      </c>
      <c r="N55" s="238"/>
      <c r="O55" s="229"/>
      <c r="P55" s="222"/>
      <c r="Q55" s="222"/>
    </row>
    <row r="56" customFormat="1" ht="13.8" customHeight="1" spans="1:17">
      <c r="A56" s="222"/>
      <c r="B56" s="222"/>
      <c r="C56" s="222"/>
      <c r="D56" s="222"/>
      <c r="E56" s="222"/>
      <c r="F56" s="222"/>
      <c r="G56" s="222"/>
      <c r="H56" s="222"/>
      <c r="I56" s="227"/>
      <c r="J56" s="237">
        <v>46</v>
      </c>
      <c r="K56" s="238"/>
      <c r="L56" s="228"/>
      <c r="M56" s="237">
        <v>46</v>
      </c>
      <c r="N56" s="238"/>
      <c r="O56" s="229"/>
      <c r="P56" s="222"/>
      <c r="Q56" s="222"/>
    </row>
    <row r="57" customFormat="1" ht="13.8" customHeight="1" spans="1:17">
      <c r="A57" s="222"/>
      <c r="B57" s="222"/>
      <c r="C57" s="222"/>
      <c r="D57" s="222"/>
      <c r="E57" s="222"/>
      <c r="F57" s="222"/>
      <c r="G57" s="222"/>
      <c r="H57" s="222"/>
      <c r="I57" s="227"/>
      <c r="J57" s="237">
        <v>47</v>
      </c>
      <c r="K57" s="238"/>
      <c r="L57" s="228"/>
      <c r="M57" s="237">
        <v>47</v>
      </c>
      <c r="N57" s="238"/>
      <c r="O57" s="229"/>
      <c r="P57" s="222"/>
      <c r="Q57" s="222"/>
    </row>
    <row r="58" customFormat="1" ht="13.8" customHeight="1" spans="1:17">
      <c r="A58" s="222"/>
      <c r="B58" s="222"/>
      <c r="C58" s="222"/>
      <c r="D58" s="222"/>
      <c r="E58" s="222"/>
      <c r="F58" s="222"/>
      <c r="G58" s="222"/>
      <c r="H58" s="222"/>
      <c r="I58" s="227"/>
      <c r="J58" s="237">
        <v>48</v>
      </c>
      <c r="K58" s="238"/>
      <c r="L58" s="228"/>
      <c r="M58" s="237">
        <v>48</v>
      </c>
      <c r="N58" s="238"/>
      <c r="O58" s="229"/>
      <c r="P58" s="222"/>
      <c r="Q58" s="222"/>
    </row>
    <row r="59" customFormat="1" ht="13.8" customHeight="1" spans="1:17">
      <c r="A59" s="222"/>
      <c r="B59" s="222"/>
      <c r="C59" s="222"/>
      <c r="D59" s="222"/>
      <c r="E59" s="222"/>
      <c r="F59" s="222"/>
      <c r="G59" s="222"/>
      <c r="H59" s="222"/>
      <c r="I59" s="227"/>
      <c r="J59" s="237">
        <v>49</v>
      </c>
      <c r="K59" s="238"/>
      <c r="L59" s="228"/>
      <c r="M59" s="237">
        <v>49</v>
      </c>
      <c r="N59" s="238"/>
      <c r="O59" s="229"/>
      <c r="P59" s="222"/>
      <c r="Q59" s="222"/>
    </row>
    <row r="60" customFormat="1" ht="13.8" customHeight="1" spans="1:17">
      <c r="A60" s="222"/>
      <c r="B60" s="222"/>
      <c r="C60" s="222"/>
      <c r="D60" s="222"/>
      <c r="E60" s="222"/>
      <c r="F60" s="222"/>
      <c r="G60" s="222"/>
      <c r="H60" s="222"/>
      <c r="I60" s="269"/>
      <c r="J60" s="237">
        <v>50</v>
      </c>
      <c r="K60" s="238"/>
      <c r="L60" s="228"/>
      <c r="M60" s="237">
        <v>50</v>
      </c>
      <c r="N60" s="238"/>
      <c r="O60" s="229"/>
      <c r="P60" s="222"/>
      <c r="Q60" s="222"/>
    </row>
    <row r="61" customFormat="1" ht="13.8" customHeight="1" spans="1:17">
      <c r="A61" s="222"/>
      <c r="B61" s="222"/>
      <c r="C61" s="222"/>
      <c r="D61" s="222"/>
      <c r="E61" s="222"/>
      <c r="F61" s="222"/>
      <c r="G61" s="222"/>
      <c r="H61" s="222"/>
      <c r="I61" s="270"/>
      <c r="J61" s="271"/>
      <c r="K61" s="272"/>
      <c r="L61" s="272"/>
      <c r="M61" s="272"/>
      <c r="N61" s="271"/>
      <c r="O61" s="273"/>
      <c r="P61" s="222"/>
      <c r="Q61" s="222"/>
    </row>
    <row r="62" customFormat="1" ht="13.2" customHeight="1" spans="1:17">
      <c r="A62" s="222"/>
      <c r="B62" s="222"/>
      <c r="C62" s="222"/>
      <c r="D62" s="222"/>
      <c r="E62" s="222"/>
      <c r="F62" s="222"/>
      <c r="G62" s="222"/>
      <c r="H62" s="222"/>
      <c r="I62" s="222"/>
      <c r="J62" s="222"/>
      <c r="K62" s="222"/>
      <c r="L62" s="222"/>
      <c r="M62" s="222"/>
      <c r="N62" s="222"/>
      <c r="O62" s="274" t="s">
        <v>20</v>
      </c>
      <c r="P62" s="222"/>
      <c r="Q62" s="222"/>
    </row>
    <row r="63" customFormat="1" ht="13.2" customHeight="1" spans="1:17">
      <c r="A63" s="222"/>
      <c r="B63" s="222"/>
      <c r="C63" s="222"/>
      <c r="D63" s="222"/>
      <c r="E63" s="222"/>
      <c r="F63" s="222"/>
      <c r="G63" s="222"/>
      <c r="H63" s="222"/>
      <c r="I63" s="222"/>
      <c r="J63" s="222"/>
      <c r="K63" s="222"/>
      <c r="L63" s="222"/>
      <c r="M63" s="222"/>
      <c r="N63" s="222"/>
      <c r="O63" s="274"/>
      <c r="P63" s="222"/>
      <c r="Q63" s="222"/>
    </row>
    <row r="64" customFormat="1" ht="13.2" customHeight="1" spans="1:17">
      <c r="A64" s="222"/>
      <c r="B64" s="222"/>
      <c r="C64" s="222"/>
      <c r="D64" s="222"/>
      <c r="E64" s="222"/>
      <c r="F64" s="222"/>
      <c r="G64" s="222"/>
      <c r="H64" s="222"/>
      <c r="I64" s="222"/>
      <c r="J64" s="222"/>
      <c r="K64" s="222"/>
      <c r="L64" s="222"/>
      <c r="M64" s="222"/>
      <c r="N64" s="222"/>
      <c r="O64" s="274"/>
      <c r="P64" s="222"/>
      <c r="Q64" s="222"/>
    </row>
  </sheetData>
  <mergeCells count="17">
    <mergeCell ref="E10:F10"/>
    <mergeCell ref="J10:K10"/>
    <mergeCell ref="M10:N10"/>
    <mergeCell ref="E13:F13"/>
    <mergeCell ref="E14:F14"/>
    <mergeCell ref="E15:F15"/>
    <mergeCell ref="E16:F16"/>
    <mergeCell ref="E23:F23"/>
    <mergeCell ref="E24:F24"/>
    <mergeCell ref="E25:F25"/>
    <mergeCell ref="E26:F26"/>
    <mergeCell ref="B36:G38"/>
    <mergeCell ref="C28:F31"/>
    <mergeCell ref="A1:P5"/>
    <mergeCell ref="I7:O8"/>
    <mergeCell ref="B7:G8"/>
    <mergeCell ref="B20:G21"/>
  </mergeCells>
  <dataValidations count="4">
    <dataValidation type="list" allowBlank="1" showInputMessage="1" showErrorMessage="1" promptTitle="Region" prompt="Select the region from the dropdown list." sqref="E10:F10">
      <formula1>"Select Region,CAR,NCR,Region I,Region II,Region III,Region IV-A,MIMAROPA,Region V,Region VI,Region VII,Region VIII,NIR,Region IX,Region X,Region XI,Region XII,CARAGA,BARMM"</formula1>
    </dataValidation>
    <dataValidation type="list" allowBlank="1" showInputMessage="1" showErrorMessage="1" promptTitle="School Year" prompt="Select the school year from the dropdown list." sqref="E15:F15">
      <formula1>"2026-2027,2027-2028,2028-2029,2029-2030"</formula1>
    </dataValidation>
    <dataValidation type="list" allowBlank="1" showInputMessage="1" showErrorMessage="1" promptTitle="Subject" prompt="Select the subject from the dropdown list." sqref="E24:F24">
      <formula1>"Special Program in Sports (SPS)"</formula1>
    </dataValidation>
    <dataValidation type="list" allowBlank="1" showErrorMessage="1" sqref="E25">
      <formula1>"2,3,4,5,6,7,8,9,10"</formula1>
    </dataValidation>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sheetPr>
  <dimension ref="A1:AF120"/>
  <sheetViews>
    <sheetView showGridLines="0" workbookViewId="0">
      <pane ySplit="16" topLeftCell="A29" activePane="bottomLeft" state="frozen"/>
      <selection/>
      <selection pane="bottomLeft" activeCell="U18" sqref="U18"/>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21</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San Jose National High School</v>
      </c>
      <c r="G7" s="51"/>
      <c r="H7" s="51"/>
      <c r="I7" s="51"/>
      <c r="J7" s="51"/>
      <c r="K7" s="51"/>
      <c r="L7" s="51"/>
      <c r="M7" s="51"/>
      <c r="N7" s="51"/>
      <c r="O7" s="51"/>
      <c r="P7" s="51"/>
      <c r="Q7" s="51"/>
      <c r="R7" s="51"/>
      <c r="S7" s="51"/>
      <c r="T7" s="51"/>
      <c r="U7" s="51"/>
      <c r="V7" s="50"/>
      <c r="W7" s="46"/>
      <c r="X7" s="46"/>
      <c r="Y7" s="52" t="s">
        <v>11</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22</v>
      </c>
      <c r="E10" s="128"/>
      <c r="F10" s="129" t="s">
        <v>17</v>
      </c>
      <c r="G10" s="57"/>
      <c r="H10" s="57"/>
      <c r="I10" s="72"/>
      <c r="J10" s="130" t="str">
        <f>IF('INPUT DATA'!E25="","",'INPUT DATA'!E25)</f>
        <v/>
      </c>
      <c r="K10" s="131"/>
      <c r="L10" s="131"/>
      <c r="M10" s="132"/>
      <c r="N10" s="133" t="s">
        <v>23</v>
      </c>
      <c r="P10" s="128"/>
      <c r="Q10" s="130" t="str">
        <f>IF('INPUT DATA'!E23="","",'INPUT DATA'!E23)</f>
        <v/>
      </c>
      <c r="R10" s="98"/>
      <c r="S10" s="98"/>
      <c r="T10" s="98"/>
      <c r="U10" s="98"/>
      <c r="V10" s="98"/>
      <c r="W10" s="98"/>
      <c r="X10" s="134"/>
      <c r="Y10" s="135" t="s">
        <v>15</v>
      </c>
      <c r="AA10" s="130" t="str">
        <f>IF('INPUT DATA'!E24="","",'INPUT DATA'!E24)</f>
        <v>SPS</v>
      </c>
      <c r="AB10" s="98"/>
      <c r="AC10" s="98"/>
      <c r="AD10" s="134"/>
      <c r="AE10" s="46"/>
      <c r="AF10" s="123"/>
    </row>
    <row r="11" ht="14.4" customHeight="1" spans="1:32">
      <c r="A11" s="46"/>
      <c r="B11" s="136"/>
      <c r="E11" s="128"/>
      <c r="F11" s="58" t="s">
        <v>18</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24</v>
      </c>
      <c r="G12" s="64"/>
      <c r="H12" s="64"/>
      <c r="I12" s="64"/>
      <c r="J12" s="64"/>
      <c r="K12" s="64"/>
      <c r="L12" s="64"/>
      <c r="M12" s="139"/>
      <c r="N12" s="140" t="s">
        <v>25</v>
      </c>
      <c r="O12" s="64"/>
      <c r="P12" s="64"/>
      <c r="Q12" s="64"/>
      <c r="R12" s="64"/>
      <c r="S12" s="139"/>
      <c r="T12" s="140" t="s">
        <v>26</v>
      </c>
      <c r="U12" s="64"/>
      <c r="V12" s="64"/>
      <c r="W12" s="64"/>
      <c r="X12" s="64"/>
      <c r="Y12" s="64"/>
      <c r="Z12" s="64"/>
      <c r="AA12" s="139"/>
      <c r="AB12" s="140" t="s">
        <v>27</v>
      </c>
      <c r="AC12" s="140" t="s">
        <v>28</v>
      </c>
      <c r="AD12" s="140" t="s">
        <v>29</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30</v>
      </c>
      <c r="L14" s="145" t="s">
        <v>31</v>
      </c>
      <c r="M14" s="145" t="s">
        <v>32</v>
      </c>
      <c r="N14" s="142">
        <v>1</v>
      </c>
      <c r="O14" s="143">
        <v>2</v>
      </c>
      <c r="P14" s="144">
        <v>3</v>
      </c>
      <c r="Q14" s="145" t="s">
        <v>30</v>
      </c>
      <c r="R14" s="145" t="s">
        <v>31</v>
      </c>
      <c r="S14" s="145" t="s">
        <v>32</v>
      </c>
      <c r="T14" s="142" t="s">
        <v>33</v>
      </c>
      <c r="U14" s="143" t="s">
        <v>34</v>
      </c>
      <c r="V14" s="144" t="s">
        <v>35</v>
      </c>
      <c r="W14" s="146" t="s">
        <v>36</v>
      </c>
      <c r="X14" s="147" t="s">
        <v>37</v>
      </c>
      <c r="Y14" s="148" t="s">
        <v>38</v>
      </c>
      <c r="Z14" s="145" t="s">
        <v>31</v>
      </c>
      <c r="AA14" s="145" t="s">
        <v>32</v>
      </c>
      <c r="AB14" s="141"/>
      <c r="AC14" s="141"/>
      <c r="AD14" s="141"/>
      <c r="AE14" s="46"/>
      <c r="AF14" s="123"/>
    </row>
    <row r="15" ht="14.4" customHeight="1" spans="1:32">
      <c r="A15" s="46"/>
      <c r="B15" s="149" t="s">
        <v>39</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67" si="1">IF(COUNT(F18:J18)=0,"",IFERROR(K18/$K$15*$L$15,""))</f>
        <v/>
      </c>
      <c r="M18" s="170" t="str">
        <f t="shared" ref="M18:M67" si="2">IF(L18="","",L18*$M$15)</f>
        <v/>
      </c>
      <c r="N18" s="165"/>
      <c r="O18" s="166"/>
      <c r="P18" s="167"/>
      <c r="Q18" s="171" t="str">
        <f t="shared" ref="Q18:Q67" si="3">IF(COUNT(N18:P18)=0,"",SUM(N18:P18))</f>
        <v/>
      </c>
      <c r="R18" s="169" t="str">
        <f t="shared" ref="R18:R67" si="4">IF(COUNT(N18:P18)=0,"",IFERROR(Q18/$Q$15*$R$15,""))</f>
        <v/>
      </c>
      <c r="S18" s="170" t="str">
        <f t="shared" ref="S18:S67" si="5">IF(R18="","",R18*$S$15)</f>
        <v/>
      </c>
      <c r="T18" s="165"/>
      <c r="U18" s="166"/>
      <c r="V18" s="167"/>
      <c r="W18" s="172" t="str">
        <f t="shared" ref="W18:W67" si="6">IF(T18="","",IFERROR(T18/$T$15*$W$15,""))</f>
        <v/>
      </c>
      <c r="X18" s="173" t="str">
        <f t="shared" ref="X18:X67" si="7">IF(U18="","",IFERROR(U18/$U$15*$X$15,""))</f>
        <v/>
      </c>
      <c r="Y18" s="174" t="str">
        <f t="shared" ref="Y18:Y67" si="8">IF(V18="","",IFERROR(V18/$V$15*$Y$15,""))</f>
        <v/>
      </c>
      <c r="Z18" s="175" t="str">
        <f t="shared" ref="Z18:Z67" si="9">IF(COUNT(T18:V18)=0,"",SUM(W18:Y18))</f>
        <v/>
      </c>
      <c r="AA18" s="176" t="str">
        <f t="shared" ref="AA18:AA67" si="10">IF(Z18="","",Z18*$AA$15)</f>
        <v/>
      </c>
      <c r="AB18" s="177" t="str">
        <f t="shared" ref="AB18:AB67"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si="1"/>
        <v/>
      </c>
      <c r="M50" s="184" t="str">
        <f t="shared" si="2"/>
        <v/>
      </c>
      <c r="N50" s="180"/>
      <c r="O50" s="181"/>
      <c r="P50" s="182"/>
      <c r="Q50" s="168" t="str">
        <f t="shared" si="3"/>
        <v/>
      </c>
      <c r="R50" s="183" t="str">
        <f t="shared" si="4"/>
        <v/>
      </c>
      <c r="S50" s="184" t="str">
        <f t="shared" si="5"/>
        <v/>
      </c>
      <c r="T50" s="180"/>
      <c r="U50" s="181"/>
      <c r="V50" s="182"/>
      <c r="W50" s="168" t="str">
        <f t="shared" si="6"/>
        <v/>
      </c>
      <c r="X50" s="183" t="str">
        <f t="shared" si="7"/>
        <v/>
      </c>
      <c r="Y50" s="184" t="str">
        <f t="shared" si="8"/>
        <v/>
      </c>
      <c r="Z50" s="185" t="str">
        <f t="shared" si="9"/>
        <v/>
      </c>
      <c r="AA50" s="186" t="str">
        <f t="shared" si="10"/>
        <v/>
      </c>
      <c r="AB50" s="187" t="str">
        <f t="shared" si="11"/>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
        <v/>
      </c>
      <c r="M51" s="184" t="str">
        <f t="shared" si="2"/>
        <v/>
      </c>
      <c r="N51" s="180"/>
      <c r="O51" s="181"/>
      <c r="P51" s="182"/>
      <c r="Q51" s="168" t="str">
        <f t="shared" si="3"/>
        <v/>
      </c>
      <c r="R51" s="183" t="str">
        <f t="shared" si="4"/>
        <v/>
      </c>
      <c r="S51" s="184" t="str">
        <f t="shared" si="5"/>
        <v/>
      </c>
      <c r="T51" s="180"/>
      <c r="U51" s="181"/>
      <c r="V51" s="182"/>
      <c r="W51" s="168" t="str">
        <f t="shared" si="6"/>
        <v/>
      </c>
      <c r="X51" s="183" t="str">
        <f t="shared" si="7"/>
        <v/>
      </c>
      <c r="Y51" s="184" t="str">
        <f t="shared" si="8"/>
        <v/>
      </c>
      <c r="Z51" s="185" t="str">
        <f t="shared" si="9"/>
        <v/>
      </c>
      <c r="AA51" s="186" t="str">
        <f t="shared" si="10"/>
        <v/>
      </c>
      <c r="AB51" s="187" t="str">
        <f t="shared" si="11"/>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
        <v/>
      </c>
      <c r="M52" s="184" t="str">
        <f t="shared" si="2"/>
        <v/>
      </c>
      <c r="N52" s="180"/>
      <c r="O52" s="181"/>
      <c r="P52" s="182"/>
      <c r="Q52" s="168" t="str">
        <f t="shared" si="3"/>
        <v/>
      </c>
      <c r="R52" s="183" t="str">
        <f t="shared" si="4"/>
        <v/>
      </c>
      <c r="S52" s="184" t="str">
        <f t="shared" si="5"/>
        <v/>
      </c>
      <c r="T52" s="180"/>
      <c r="U52" s="181"/>
      <c r="V52" s="182"/>
      <c r="W52" s="168" t="str">
        <f t="shared" si="6"/>
        <v/>
      </c>
      <c r="X52" s="183" t="str">
        <f t="shared" si="7"/>
        <v/>
      </c>
      <c r="Y52" s="184" t="str">
        <f t="shared" si="8"/>
        <v/>
      </c>
      <c r="Z52" s="185" t="str">
        <f t="shared" si="9"/>
        <v/>
      </c>
      <c r="AA52" s="186" t="str">
        <f t="shared" si="10"/>
        <v/>
      </c>
      <c r="AB52" s="187" t="str">
        <f t="shared" si="11"/>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
        <v/>
      </c>
      <c r="M53" s="184" t="str">
        <f t="shared" si="2"/>
        <v/>
      </c>
      <c r="N53" s="180"/>
      <c r="O53" s="181"/>
      <c r="P53" s="182"/>
      <c r="Q53" s="168" t="str">
        <f t="shared" si="3"/>
        <v/>
      </c>
      <c r="R53" s="183" t="str">
        <f t="shared" si="4"/>
        <v/>
      </c>
      <c r="S53" s="184" t="str">
        <f t="shared" si="5"/>
        <v/>
      </c>
      <c r="T53" s="180"/>
      <c r="U53" s="181"/>
      <c r="V53" s="182"/>
      <c r="W53" s="168" t="str">
        <f t="shared" si="6"/>
        <v/>
      </c>
      <c r="X53" s="183" t="str">
        <f t="shared" si="7"/>
        <v/>
      </c>
      <c r="Y53" s="184" t="str">
        <f t="shared" si="8"/>
        <v/>
      </c>
      <c r="Z53" s="185" t="str">
        <f t="shared" si="9"/>
        <v/>
      </c>
      <c r="AA53" s="186" t="str">
        <f t="shared" si="10"/>
        <v/>
      </c>
      <c r="AB53" s="187" t="str">
        <f t="shared" si="11"/>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
        <v/>
      </c>
      <c r="M54" s="184" t="str">
        <f t="shared" si="2"/>
        <v/>
      </c>
      <c r="N54" s="180"/>
      <c r="O54" s="181"/>
      <c r="P54" s="182"/>
      <c r="Q54" s="168" t="str">
        <f t="shared" si="3"/>
        <v/>
      </c>
      <c r="R54" s="183" t="str">
        <f t="shared" si="4"/>
        <v/>
      </c>
      <c r="S54" s="184" t="str">
        <f t="shared" si="5"/>
        <v/>
      </c>
      <c r="T54" s="180"/>
      <c r="U54" s="181"/>
      <c r="V54" s="182"/>
      <c r="W54" s="168" t="str">
        <f t="shared" si="6"/>
        <v/>
      </c>
      <c r="X54" s="183" t="str">
        <f t="shared" si="7"/>
        <v/>
      </c>
      <c r="Y54" s="184" t="str">
        <f t="shared" si="8"/>
        <v/>
      </c>
      <c r="Z54" s="185" t="str">
        <f t="shared" si="9"/>
        <v/>
      </c>
      <c r="AA54" s="186" t="str">
        <f t="shared" si="10"/>
        <v/>
      </c>
      <c r="AB54" s="187" t="str">
        <f t="shared" si="11"/>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
        <v/>
      </c>
      <c r="M55" s="184" t="str">
        <f t="shared" si="2"/>
        <v/>
      </c>
      <c r="N55" s="180"/>
      <c r="O55" s="181"/>
      <c r="P55" s="182"/>
      <c r="Q55" s="168" t="str">
        <f t="shared" si="3"/>
        <v/>
      </c>
      <c r="R55" s="183" t="str">
        <f t="shared" si="4"/>
        <v/>
      </c>
      <c r="S55" s="184" t="str">
        <f t="shared" si="5"/>
        <v/>
      </c>
      <c r="T55" s="180"/>
      <c r="U55" s="181"/>
      <c r="V55" s="182"/>
      <c r="W55" s="168" t="str">
        <f t="shared" si="6"/>
        <v/>
      </c>
      <c r="X55" s="183" t="str">
        <f t="shared" si="7"/>
        <v/>
      </c>
      <c r="Y55" s="184" t="str">
        <f t="shared" si="8"/>
        <v/>
      </c>
      <c r="Z55" s="185" t="str">
        <f t="shared" si="9"/>
        <v/>
      </c>
      <c r="AA55" s="186" t="str">
        <f t="shared" si="10"/>
        <v/>
      </c>
      <c r="AB55" s="187" t="str">
        <f t="shared" si="11"/>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
        <v/>
      </c>
      <c r="M56" s="184" t="str">
        <f t="shared" si="2"/>
        <v/>
      </c>
      <c r="N56" s="180"/>
      <c r="O56" s="181"/>
      <c r="P56" s="182"/>
      <c r="Q56" s="168" t="str">
        <f t="shared" si="3"/>
        <v/>
      </c>
      <c r="R56" s="183" t="str">
        <f t="shared" si="4"/>
        <v/>
      </c>
      <c r="S56" s="184" t="str">
        <f t="shared" si="5"/>
        <v/>
      </c>
      <c r="T56" s="180"/>
      <c r="U56" s="181"/>
      <c r="V56" s="182"/>
      <c r="W56" s="168" t="str">
        <f t="shared" si="6"/>
        <v/>
      </c>
      <c r="X56" s="183" t="str">
        <f t="shared" si="7"/>
        <v/>
      </c>
      <c r="Y56" s="184" t="str">
        <f t="shared" si="8"/>
        <v/>
      </c>
      <c r="Z56" s="185" t="str">
        <f t="shared" si="9"/>
        <v/>
      </c>
      <c r="AA56" s="186" t="str">
        <f t="shared" si="10"/>
        <v/>
      </c>
      <c r="AB56" s="187" t="str">
        <f t="shared" si="11"/>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
        <v/>
      </c>
      <c r="M57" s="184" t="str">
        <f t="shared" si="2"/>
        <v/>
      </c>
      <c r="N57" s="180"/>
      <c r="O57" s="181"/>
      <c r="P57" s="182"/>
      <c r="Q57" s="168" t="str">
        <f t="shared" si="3"/>
        <v/>
      </c>
      <c r="R57" s="183" t="str">
        <f t="shared" si="4"/>
        <v/>
      </c>
      <c r="S57" s="184" t="str">
        <f t="shared" si="5"/>
        <v/>
      </c>
      <c r="T57" s="180"/>
      <c r="U57" s="181"/>
      <c r="V57" s="182"/>
      <c r="W57" s="168" t="str">
        <f t="shared" si="6"/>
        <v/>
      </c>
      <c r="X57" s="183" t="str">
        <f t="shared" si="7"/>
        <v/>
      </c>
      <c r="Y57" s="184" t="str">
        <f t="shared" si="8"/>
        <v/>
      </c>
      <c r="Z57" s="185" t="str">
        <f t="shared" si="9"/>
        <v/>
      </c>
      <c r="AA57" s="186" t="str">
        <f t="shared" si="10"/>
        <v/>
      </c>
      <c r="AB57" s="187" t="str">
        <f t="shared" si="11"/>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
        <v/>
      </c>
      <c r="M58" s="184" t="str">
        <f t="shared" si="2"/>
        <v/>
      </c>
      <c r="N58" s="180"/>
      <c r="O58" s="181"/>
      <c r="P58" s="182"/>
      <c r="Q58" s="168" t="str">
        <f t="shared" si="3"/>
        <v/>
      </c>
      <c r="R58" s="183" t="str">
        <f t="shared" si="4"/>
        <v/>
      </c>
      <c r="S58" s="184" t="str">
        <f t="shared" si="5"/>
        <v/>
      </c>
      <c r="T58" s="180"/>
      <c r="U58" s="181"/>
      <c r="V58" s="182"/>
      <c r="W58" s="168" t="str">
        <f t="shared" si="6"/>
        <v/>
      </c>
      <c r="X58" s="183" t="str">
        <f t="shared" si="7"/>
        <v/>
      </c>
      <c r="Y58" s="184" t="str">
        <f t="shared" si="8"/>
        <v/>
      </c>
      <c r="Z58" s="185" t="str">
        <f t="shared" si="9"/>
        <v/>
      </c>
      <c r="AA58" s="186" t="str">
        <f t="shared" si="10"/>
        <v/>
      </c>
      <c r="AB58" s="187" t="str">
        <f t="shared" si="11"/>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
        <v/>
      </c>
      <c r="M59" s="184" t="str">
        <f t="shared" si="2"/>
        <v/>
      </c>
      <c r="N59" s="180"/>
      <c r="O59" s="181"/>
      <c r="P59" s="182"/>
      <c r="Q59" s="168" t="str">
        <f t="shared" si="3"/>
        <v/>
      </c>
      <c r="R59" s="183" t="str">
        <f t="shared" si="4"/>
        <v/>
      </c>
      <c r="S59" s="184" t="str">
        <f t="shared" si="5"/>
        <v/>
      </c>
      <c r="T59" s="180"/>
      <c r="U59" s="181"/>
      <c r="V59" s="182"/>
      <c r="W59" s="168" t="str">
        <f t="shared" si="6"/>
        <v/>
      </c>
      <c r="X59" s="183" t="str">
        <f t="shared" si="7"/>
        <v/>
      </c>
      <c r="Y59" s="184" t="str">
        <f t="shared" si="8"/>
        <v/>
      </c>
      <c r="Z59" s="185" t="str">
        <f t="shared" si="9"/>
        <v/>
      </c>
      <c r="AA59" s="186" t="str">
        <f t="shared" si="10"/>
        <v/>
      </c>
      <c r="AB59" s="187" t="str">
        <f t="shared" si="11"/>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
        <v/>
      </c>
      <c r="M60" s="184" t="str">
        <f t="shared" si="2"/>
        <v/>
      </c>
      <c r="N60" s="180"/>
      <c r="O60" s="181"/>
      <c r="P60" s="182"/>
      <c r="Q60" s="168" t="str">
        <f t="shared" si="3"/>
        <v/>
      </c>
      <c r="R60" s="183" t="str">
        <f t="shared" si="4"/>
        <v/>
      </c>
      <c r="S60" s="184" t="str">
        <f t="shared" si="5"/>
        <v/>
      </c>
      <c r="T60" s="180"/>
      <c r="U60" s="181"/>
      <c r="V60" s="182"/>
      <c r="W60" s="168" t="str">
        <f t="shared" si="6"/>
        <v/>
      </c>
      <c r="X60" s="183" t="str">
        <f t="shared" si="7"/>
        <v/>
      </c>
      <c r="Y60" s="184" t="str">
        <f t="shared" si="8"/>
        <v/>
      </c>
      <c r="Z60" s="185" t="str">
        <f t="shared" si="9"/>
        <v/>
      </c>
      <c r="AA60" s="186" t="str">
        <f t="shared" si="10"/>
        <v/>
      </c>
      <c r="AB60" s="187" t="str">
        <f t="shared" si="11"/>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
        <v/>
      </c>
      <c r="M61" s="184" t="str">
        <f t="shared" si="2"/>
        <v/>
      </c>
      <c r="N61" s="180"/>
      <c r="O61" s="181"/>
      <c r="P61" s="182"/>
      <c r="Q61" s="168" t="str">
        <f t="shared" si="3"/>
        <v/>
      </c>
      <c r="R61" s="183" t="str">
        <f t="shared" si="4"/>
        <v/>
      </c>
      <c r="S61" s="184" t="str">
        <f t="shared" si="5"/>
        <v/>
      </c>
      <c r="T61" s="180"/>
      <c r="U61" s="181"/>
      <c r="V61" s="182"/>
      <c r="W61" s="168" t="str">
        <f t="shared" si="6"/>
        <v/>
      </c>
      <c r="X61" s="183" t="str">
        <f t="shared" si="7"/>
        <v/>
      </c>
      <c r="Y61" s="184" t="str">
        <f t="shared" si="8"/>
        <v/>
      </c>
      <c r="Z61" s="185" t="str">
        <f t="shared" si="9"/>
        <v/>
      </c>
      <c r="AA61" s="186" t="str">
        <f t="shared" si="10"/>
        <v/>
      </c>
      <c r="AB61" s="187" t="str">
        <f t="shared" si="11"/>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
        <v/>
      </c>
      <c r="M62" s="184" t="str">
        <f t="shared" si="2"/>
        <v/>
      </c>
      <c r="N62" s="180"/>
      <c r="O62" s="181"/>
      <c r="P62" s="182"/>
      <c r="Q62" s="168" t="str">
        <f t="shared" si="3"/>
        <v/>
      </c>
      <c r="R62" s="183" t="str">
        <f t="shared" si="4"/>
        <v/>
      </c>
      <c r="S62" s="184" t="str">
        <f t="shared" si="5"/>
        <v/>
      </c>
      <c r="T62" s="180"/>
      <c r="U62" s="181"/>
      <c r="V62" s="182"/>
      <c r="W62" s="168" t="str">
        <f t="shared" si="6"/>
        <v/>
      </c>
      <c r="X62" s="183" t="str">
        <f t="shared" si="7"/>
        <v/>
      </c>
      <c r="Y62" s="184" t="str">
        <f t="shared" si="8"/>
        <v/>
      </c>
      <c r="Z62" s="185" t="str">
        <f t="shared" si="9"/>
        <v/>
      </c>
      <c r="AA62" s="186" t="str">
        <f t="shared" si="10"/>
        <v/>
      </c>
      <c r="AB62" s="187" t="str">
        <f t="shared" si="11"/>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
        <v/>
      </c>
      <c r="M63" s="184" t="str">
        <f t="shared" si="2"/>
        <v/>
      </c>
      <c r="N63" s="180"/>
      <c r="O63" s="181"/>
      <c r="P63" s="182"/>
      <c r="Q63" s="168" t="str">
        <f t="shared" si="3"/>
        <v/>
      </c>
      <c r="R63" s="183" t="str">
        <f t="shared" si="4"/>
        <v/>
      </c>
      <c r="S63" s="184" t="str">
        <f t="shared" si="5"/>
        <v/>
      </c>
      <c r="T63" s="180"/>
      <c r="U63" s="181"/>
      <c r="V63" s="182"/>
      <c r="W63" s="168" t="str">
        <f t="shared" si="6"/>
        <v/>
      </c>
      <c r="X63" s="183" t="str">
        <f t="shared" si="7"/>
        <v/>
      </c>
      <c r="Y63" s="184" t="str">
        <f t="shared" si="8"/>
        <v/>
      </c>
      <c r="Z63" s="185" t="str">
        <f t="shared" si="9"/>
        <v/>
      </c>
      <c r="AA63" s="186" t="str">
        <f t="shared" si="10"/>
        <v/>
      </c>
      <c r="AB63" s="187" t="str">
        <f t="shared" si="11"/>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
        <v/>
      </c>
      <c r="M64" s="184" t="str">
        <f t="shared" si="2"/>
        <v/>
      </c>
      <c r="N64" s="180"/>
      <c r="O64" s="181"/>
      <c r="P64" s="182"/>
      <c r="Q64" s="168" t="str">
        <f t="shared" si="3"/>
        <v/>
      </c>
      <c r="R64" s="183" t="str">
        <f t="shared" si="4"/>
        <v/>
      </c>
      <c r="S64" s="184" t="str">
        <f t="shared" si="5"/>
        <v/>
      </c>
      <c r="T64" s="180"/>
      <c r="U64" s="181"/>
      <c r="V64" s="182"/>
      <c r="W64" s="168" t="str">
        <f t="shared" si="6"/>
        <v/>
      </c>
      <c r="X64" s="183" t="str">
        <f t="shared" si="7"/>
        <v/>
      </c>
      <c r="Y64" s="184" t="str">
        <f t="shared" si="8"/>
        <v/>
      </c>
      <c r="Z64" s="185" t="str">
        <f t="shared" si="9"/>
        <v/>
      </c>
      <c r="AA64" s="186" t="str">
        <f t="shared" si="10"/>
        <v/>
      </c>
      <c r="AB64" s="187" t="str">
        <f t="shared" si="11"/>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
        <v/>
      </c>
      <c r="M65" s="184" t="str">
        <f t="shared" si="2"/>
        <v/>
      </c>
      <c r="N65" s="180"/>
      <c r="O65" s="181"/>
      <c r="P65" s="182"/>
      <c r="Q65" s="168" t="str">
        <f t="shared" si="3"/>
        <v/>
      </c>
      <c r="R65" s="183" t="str">
        <f t="shared" si="4"/>
        <v/>
      </c>
      <c r="S65" s="184" t="str">
        <f t="shared" si="5"/>
        <v/>
      </c>
      <c r="T65" s="180"/>
      <c r="U65" s="181"/>
      <c r="V65" s="182"/>
      <c r="W65" s="168" t="str">
        <f t="shared" si="6"/>
        <v/>
      </c>
      <c r="X65" s="183" t="str">
        <f t="shared" si="7"/>
        <v/>
      </c>
      <c r="Y65" s="184" t="str">
        <f t="shared" si="8"/>
        <v/>
      </c>
      <c r="Z65" s="185" t="str">
        <f t="shared" si="9"/>
        <v/>
      </c>
      <c r="AA65" s="186" t="str">
        <f t="shared" si="10"/>
        <v/>
      </c>
      <c r="AB65" s="187" t="str">
        <f t="shared" si="11"/>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
        <v/>
      </c>
      <c r="M66" s="184" t="str">
        <f t="shared" si="2"/>
        <v/>
      </c>
      <c r="N66" s="180"/>
      <c r="O66" s="181"/>
      <c r="P66" s="182"/>
      <c r="Q66" s="168" t="str">
        <f t="shared" si="3"/>
        <v/>
      </c>
      <c r="R66" s="183" t="str">
        <f t="shared" si="4"/>
        <v/>
      </c>
      <c r="S66" s="184" t="str">
        <f t="shared" si="5"/>
        <v/>
      </c>
      <c r="T66" s="180"/>
      <c r="U66" s="181"/>
      <c r="V66" s="182"/>
      <c r="W66" s="168" t="str">
        <f t="shared" si="6"/>
        <v/>
      </c>
      <c r="X66" s="183" t="str">
        <f t="shared" si="7"/>
        <v/>
      </c>
      <c r="Y66" s="184" t="str">
        <f t="shared" si="8"/>
        <v/>
      </c>
      <c r="Z66" s="185" t="str">
        <f t="shared" si="9"/>
        <v/>
      </c>
      <c r="AA66" s="186" t="str">
        <f t="shared" si="10"/>
        <v/>
      </c>
      <c r="AB66" s="187" t="str">
        <f t="shared" si="11"/>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
        <v/>
      </c>
      <c r="M67" s="184" t="str">
        <f t="shared" si="2"/>
        <v/>
      </c>
      <c r="N67" s="190"/>
      <c r="O67" s="191"/>
      <c r="P67" s="192"/>
      <c r="Q67" s="168" t="str">
        <f t="shared" si="3"/>
        <v/>
      </c>
      <c r="R67" s="183" t="str">
        <f t="shared" si="4"/>
        <v/>
      </c>
      <c r="S67" s="184" t="str">
        <f t="shared" si="5"/>
        <v/>
      </c>
      <c r="T67" s="190"/>
      <c r="U67" s="191"/>
      <c r="V67" s="192"/>
      <c r="W67" s="168" t="str">
        <f t="shared" si="6"/>
        <v/>
      </c>
      <c r="X67" s="183" t="str">
        <f t="shared" si="7"/>
        <v/>
      </c>
      <c r="Y67" s="184" t="str">
        <f t="shared" si="8"/>
        <v/>
      </c>
      <c r="Z67" s="185" t="str">
        <f t="shared" si="9"/>
        <v/>
      </c>
      <c r="AA67" s="186" t="str">
        <f t="shared" si="10"/>
        <v/>
      </c>
      <c r="AB67" s="187" t="str">
        <f t="shared" si="11"/>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18" si="13">IF(COUNT($F69:$J69)=0,"",SUM($F69:$J69))</f>
        <v/>
      </c>
      <c r="L69" s="198" t="str">
        <f t="shared" ref="L69:L118" si="14">IF(COUNT(F69:J69)=0,"",IFERROR(K69/$K$15*$L$15,""))</f>
        <v/>
      </c>
      <c r="M69" s="199" t="str">
        <f t="shared" ref="M69:M118" si="15">IF(L69="","",L69*$M$15)</f>
        <v/>
      </c>
      <c r="N69" s="165"/>
      <c r="O69" s="166"/>
      <c r="P69" s="167"/>
      <c r="Q69" s="197" t="str">
        <f t="shared" ref="Q69:Q118" si="16">IF(COUNT(N69:P69)=0,"",SUM(N69:P69))</f>
        <v/>
      </c>
      <c r="R69" s="198" t="str">
        <f t="shared" ref="R69:R118" si="17">IF(COUNT(N69:P69)=0,"",IFERROR(Q69/$Q$15*$R$15,""))</f>
        <v/>
      </c>
      <c r="S69" s="199" t="str">
        <f t="shared" ref="S69:S118" si="18">IF(R69="","",R69*$S$15)</f>
        <v/>
      </c>
      <c r="T69" s="165"/>
      <c r="U69" s="166"/>
      <c r="V69" s="167"/>
      <c r="W69" s="197" t="str">
        <f t="shared" ref="W69:W118" si="19">IF(T69="","",IFERROR(T69/$T$15*$W$15,""))</f>
        <v/>
      </c>
      <c r="X69" s="198" t="str">
        <f t="shared" ref="X69:X118" si="20">IF(U69="","",IFERROR(U69/$U$15*$X$15,""))</f>
        <v/>
      </c>
      <c r="Y69" s="199" t="str">
        <f t="shared" ref="Y69:Y118" si="21">IF(V69="","",IFERROR(V69/$V$15*$Y$15,""))</f>
        <v/>
      </c>
      <c r="Z69" s="200" t="str">
        <f t="shared" ref="Z69:Z118" si="22">IF(COUNT(T69:V69)=0,"",SUM(W69:Y69))</f>
        <v/>
      </c>
      <c r="AA69" s="201" t="str">
        <f t="shared" ref="AA69:AA118" si="23">IF(Z69="","",Z69*$AA$15)</f>
        <v/>
      </c>
      <c r="AB69" s="202" t="str">
        <f t="shared" ref="AB69:AB118" si="24">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13"/>
        <v/>
      </c>
      <c r="L70" s="183" t="str">
        <f t="shared" si="14"/>
        <v/>
      </c>
      <c r="M70" s="184" t="str">
        <f t="shared" si="15"/>
        <v/>
      </c>
      <c r="N70" s="180"/>
      <c r="O70" s="181"/>
      <c r="P70" s="182"/>
      <c r="Q70" s="168" t="str">
        <f t="shared" si="16"/>
        <v/>
      </c>
      <c r="R70" s="183" t="str">
        <f t="shared" si="17"/>
        <v/>
      </c>
      <c r="S70" s="184" t="str">
        <f t="shared" si="18"/>
        <v/>
      </c>
      <c r="T70" s="180"/>
      <c r="U70" s="181"/>
      <c r="V70" s="182"/>
      <c r="W70" s="168" t="str">
        <f t="shared" si="19"/>
        <v/>
      </c>
      <c r="X70" s="183" t="str">
        <f t="shared" si="20"/>
        <v/>
      </c>
      <c r="Y70" s="184" t="str">
        <f t="shared" si="21"/>
        <v/>
      </c>
      <c r="Z70" s="185" t="str">
        <f t="shared" si="22"/>
        <v/>
      </c>
      <c r="AA70" s="186" t="str">
        <f t="shared" si="23"/>
        <v/>
      </c>
      <c r="AB70" s="187" t="str">
        <f t="shared" si="24"/>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13"/>
        <v/>
      </c>
      <c r="L71" s="183" t="str">
        <f t="shared" si="14"/>
        <v/>
      </c>
      <c r="M71" s="184" t="str">
        <f t="shared" si="15"/>
        <v/>
      </c>
      <c r="N71" s="180"/>
      <c r="O71" s="181"/>
      <c r="P71" s="182"/>
      <c r="Q71" s="168" t="str">
        <f t="shared" si="16"/>
        <v/>
      </c>
      <c r="R71" s="183" t="str">
        <f t="shared" si="17"/>
        <v/>
      </c>
      <c r="S71" s="184" t="str">
        <f t="shared" si="18"/>
        <v/>
      </c>
      <c r="T71" s="180"/>
      <c r="U71" s="181"/>
      <c r="V71" s="182"/>
      <c r="W71" s="168" t="str">
        <f t="shared" si="19"/>
        <v/>
      </c>
      <c r="X71" s="183" t="str">
        <f t="shared" si="20"/>
        <v/>
      </c>
      <c r="Y71" s="184" t="str">
        <f t="shared" si="21"/>
        <v/>
      </c>
      <c r="Z71" s="185" t="str">
        <f t="shared" si="22"/>
        <v/>
      </c>
      <c r="AA71" s="186" t="str">
        <f t="shared" si="23"/>
        <v/>
      </c>
      <c r="AB71" s="187" t="str">
        <f t="shared" si="24"/>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13"/>
        <v/>
      </c>
      <c r="L72" s="183" t="str">
        <f t="shared" si="14"/>
        <v/>
      </c>
      <c r="M72" s="184" t="str">
        <f t="shared" si="15"/>
        <v/>
      </c>
      <c r="N72" s="180"/>
      <c r="O72" s="181"/>
      <c r="P72" s="182"/>
      <c r="Q72" s="168" t="str">
        <f t="shared" si="16"/>
        <v/>
      </c>
      <c r="R72" s="183" t="str">
        <f t="shared" si="17"/>
        <v/>
      </c>
      <c r="S72" s="184" t="str">
        <f t="shared" si="18"/>
        <v/>
      </c>
      <c r="T72" s="180"/>
      <c r="U72" s="181"/>
      <c r="V72" s="182"/>
      <c r="W72" s="168" t="str">
        <f t="shared" si="19"/>
        <v/>
      </c>
      <c r="X72" s="183" t="str">
        <f t="shared" si="20"/>
        <v/>
      </c>
      <c r="Y72" s="184" t="str">
        <f t="shared" si="21"/>
        <v/>
      </c>
      <c r="Z72" s="185" t="str">
        <f t="shared" si="22"/>
        <v/>
      </c>
      <c r="AA72" s="186" t="str">
        <f t="shared" si="23"/>
        <v/>
      </c>
      <c r="AB72" s="187" t="str">
        <f t="shared" si="24"/>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13"/>
        <v/>
      </c>
      <c r="L73" s="183" t="str">
        <f t="shared" si="14"/>
        <v/>
      </c>
      <c r="M73" s="184" t="str">
        <f t="shared" si="15"/>
        <v/>
      </c>
      <c r="N73" s="180"/>
      <c r="O73" s="181"/>
      <c r="P73" s="182"/>
      <c r="Q73" s="168" t="str">
        <f t="shared" si="16"/>
        <v/>
      </c>
      <c r="R73" s="183" t="str">
        <f t="shared" si="17"/>
        <v/>
      </c>
      <c r="S73" s="184" t="str">
        <f t="shared" si="18"/>
        <v/>
      </c>
      <c r="T73" s="180"/>
      <c r="U73" s="181"/>
      <c r="V73" s="182"/>
      <c r="W73" s="168" t="str">
        <f t="shared" si="19"/>
        <v/>
      </c>
      <c r="X73" s="183" t="str">
        <f t="shared" si="20"/>
        <v/>
      </c>
      <c r="Y73" s="184" t="str">
        <f t="shared" si="21"/>
        <v/>
      </c>
      <c r="Z73" s="185" t="str">
        <f t="shared" si="22"/>
        <v/>
      </c>
      <c r="AA73" s="186" t="str">
        <f t="shared" si="23"/>
        <v/>
      </c>
      <c r="AB73" s="187" t="str">
        <f t="shared" si="24"/>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13"/>
        <v/>
      </c>
      <c r="L74" s="183" t="str">
        <f t="shared" si="14"/>
        <v/>
      </c>
      <c r="M74" s="184" t="str">
        <f t="shared" si="15"/>
        <v/>
      </c>
      <c r="N74" s="180"/>
      <c r="O74" s="181"/>
      <c r="P74" s="182"/>
      <c r="Q74" s="168" t="str">
        <f t="shared" si="16"/>
        <v/>
      </c>
      <c r="R74" s="183" t="str">
        <f t="shared" si="17"/>
        <v/>
      </c>
      <c r="S74" s="184" t="str">
        <f t="shared" si="18"/>
        <v/>
      </c>
      <c r="T74" s="180"/>
      <c r="U74" s="181"/>
      <c r="V74" s="182"/>
      <c r="W74" s="168" t="str">
        <f t="shared" si="19"/>
        <v/>
      </c>
      <c r="X74" s="183" t="str">
        <f t="shared" si="20"/>
        <v/>
      </c>
      <c r="Y74" s="184" t="str">
        <f t="shared" si="21"/>
        <v/>
      </c>
      <c r="Z74" s="185" t="str">
        <f t="shared" si="22"/>
        <v/>
      </c>
      <c r="AA74" s="186" t="str">
        <f t="shared" si="23"/>
        <v/>
      </c>
      <c r="AB74" s="187" t="str">
        <f t="shared" si="24"/>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13"/>
        <v/>
      </c>
      <c r="L75" s="183" t="str">
        <f t="shared" si="14"/>
        <v/>
      </c>
      <c r="M75" s="184" t="str">
        <f t="shared" si="15"/>
        <v/>
      </c>
      <c r="N75" s="180"/>
      <c r="O75" s="181"/>
      <c r="P75" s="182"/>
      <c r="Q75" s="168" t="str">
        <f t="shared" si="16"/>
        <v/>
      </c>
      <c r="R75" s="183" t="str">
        <f t="shared" si="17"/>
        <v/>
      </c>
      <c r="S75" s="184" t="str">
        <f t="shared" si="18"/>
        <v/>
      </c>
      <c r="T75" s="180"/>
      <c r="U75" s="181"/>
      <c r="V75" s="182"/>
      <c r="W75" s="168" t="str">
        <f t="shared" si="19"/>
        <v/>
      </c>
      <c r="X75" s="183" t="str">
        <f t="shared" si="20"/>
        <v/>
      </c>
      <c r="Y75" s="184" t="str">
        <f t="shared" si="21"/>
        <v/>
      </c>
      <c r="Z75" s="185" t="str">
        <f t="shared" si="22"/>
        <v/>
      </c>
      <c r="AA75" s="186" t="str">
        <f t="shared" si="23"/>
        <v/>
      </c>
      <c r="AB75" s="187" t="str">
        <f t="shared" si="24"/>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13"/>
        <v/>
      </c>
      <c r="L76" s="183" t="str">
        <f t="shared" si="14"/>
        <v/>
      </c>
      <c r="M76" s="184" t="str">
        <f t="shared" si="15"/>
        <v/>
      </c>
      <c r="N76" s="180"/>
      <c r="O76" s="181"/>
      <c r="P76" s="182"/>
      <c r="Q76" s="168" t="str">
        <f t="shared" si="16"/>
        <v/>
      </c>
      <c r="R76" s="183" t="str">
        <f t="shared" si="17"/>
        <v/>
      </c>
      <c r="S76" s="184" t="str">
        <f t="shared" si="18"/>
        <v/>
      </c>
      <c r="T76" s="180"/>
      <c r="U76" s="181"/>
      <c r="V76" s="182"/>
      <c r="W76" s="168" t="str">
        <f t="shared" si="19"/>
        <v/>
      </c>
      <c r="X76" s="183" t="str">
        <f t="shared" si="20"/>
        <v/>
      </c>
      <c r="Y76" s="184" t="str">
        <f t="shared" si="21"/>
        <v/>
      </c>
      <c r="Z76" s="185" t="str">
        <f t="shared" si="22"/>
        <v/>
      </c>
      <c r="AA76" s="186" t="str">
        <f t="shared" si="23"/>
        <v/>
      </c>
      <c r="AB76" s="187" t="str">
        <f t="shared" si="24"/>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13"/>
        <v/>
      </c>
      <c r="L77" s="183" t="str">
        <f t="shared" si="14"/>
        <v/>
      </c>
      <c r="M77" s="184" t="str">
        <f t="shared" si="15"/>
        <v/>
      </c>
      <c r="N77" s="180"/>
      <c r="O77" s="181"/>
      <c r="P77" s="182"/>
      <c r="Q77" s="168" t="str">
        <f t="shared" si="16"/>
        <v/>
      </c>
      <c r="R77" s="183" t="str">
        <f t="shared" si="17"/>
        <v/>
      </c>
      <c r="S77" s="184" t="str">
        <f t="shared" si="18"/>
        <v/>
      </c>
      <c r="T77" s="180"/>
      <c r="U77" s="181"/>
      <c r="V77" s="182"/>
      <c r="W77" s="168" t="str">
        <f t="shared" si="19"/>
        <v/>
      </c>
      <c r="X77" s="183" t="str">
        <f t="shared" si="20"/>
        <v/>
      </c>
      <c r="Y77" s="184" t="str">
        <f t="shared" si="21"/>
        <v/>
      </c>
      <c r="Z77" s="185" t="str">
        <f t="shared" si="22"/>
        <v/>
      </c>
      <c r="AA77" s="186" t="str">
        <f t="shared" si="23"/>
        <v/>
      </c>
      <c r="AB77" s="187" t="str">
        <f t="shared" si="24"/>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13"/>
        <v/>
      </c>
      <c r="L78" s="183" t="str">
        <f t="shared" si="14"/>
        <v/>
      </c>
      <c r="M78" s="184" t="str">
        <f t="shared" si="15"/>
        <v/>
      </c>
      <c r="N78" s="180"/>
      <c r="O78" s="181"/>
      <c r="P78" s="182"/>
      <c r="Q78" s="168" t="str">
        <f t="shared" si="16"/>
        <v/>
      </c>
      <c r="R78" s="183" t="str">
        <f t="shared" si="17"/>
        <v/>
      </c>
      <c r="S78" s="184" t="str">
        <f t="shared" si="18"/>
        <v/>
      </c>
      <c r="T78" s="180"/>
      <c r="U78" s="181"/>
      <c r="V78" s="182"/>
      <c r="W78" s="168" t="str">
        <f t="shared" si="19"/>
        <v/>
      </c>
      <c r="X78" s="183" t="str">
        <f t="shared" si="20"/>
        <v/>
      </c>
      <c r="Y78" s="184" t="str">
        <f t="shared" si="21"/>
        <v/>
      </c>
      <c r="Z78" s="185" t="str">
        <f t="shared" si="22"/>
        <v/>
      </c>
      <c r="AA78" s="186" t="str">
        <f t="shared" si="23"/>
        <v/>
      </c>
      <c r="AB78" s="187" t="str">
        <f t="shared" si="24"/>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13"/>
        <v/>
      </c>
      <c r="L79" s="183" t="str">
        <f t="shared" si="14"/>
        <v/>
      </c>
      <c r="M79" s="184" t="str">
        <f t="shared" si="15"/>
        <v/>
      </c>
      <c r="N79" s="180"/>
      <c r="O79" s="181"/>
      <c r="P79" s="182"/>
      <c r="Q79" s="168" t="str">
        <f t="shared" si="16"/>
        <v/>
      </c>
      <c r="R79" s="183" t="str">
        <f t="shared" si="17"/>
        <v/>
      </c>
      <c r="S79" s="184" t="str">
        <f t="shared" si="18"/>
        <v/>
      </c>
      <c r="T79" s="180"/>
      <c r="U79" s="181"/>
      <c r="V79" s="182"/>
      <c r="W79" s="168" t="str">
        <f t="shared" si="19"/>
        <v/>
      </c>
      <c r="X79" s="183" t="str">
        <f t="shared" si="20"/>
        <v/>
      </c>
      <c r="Y79" s="184" t="str">
        <f t="shared" si="21"/>
        <v/>
      </c>
      <c r="Z79" s="185" t="str">
        <f t="shared" si="22"/>
        <v/>
      </c>
      <c r="AA79" s="186" t="str">
        <f t="shared" si="23"/>
        <v/>
      </c>
      <c r="AB79" s="187" t="str">
        <f t="shared" si="24"/>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13"/>
        <v/>
      </c>
      <c r="L80" s="183" t="str">
        <f t="shared" si="14"/>
        <v/>
      </c>
      <c r="M80" s="184" t="str">
        <f t="shared" si="15"/>
        <v/>
      </c>
      <c r="N80" s="180"/>
      <c r="O80" s="181"/>
      <c r="P80" s="182"/>
      <c r="Q80" s="168" t="str">
        <f t="shared" si="16"/>
        <v/>
      </c>
      <c r="R80" s="183" t="str">
        <f t="shared" si="17"/>
        <v/>
      </c>
      <c r="S80" s="184" t="str">
        <f t="shared" si="18"/>
        <v/>
      </c>
      <c r="T80" s="180"/>
      <c r="U80" s="181"/>
      <c r="V80" s="182"/>
      <c r="W80" s="168" t="str">
        <f t="shared" si="19"/>
        <v/>
      </c>
      <c r="X80" s="183" t="str">
        <f t="shared" si="20"/>
        <v/>
      </c>
      <c r="Y80" s="184" t="str">
        <f t="shared" si="21"/>
        <v/>
      </c>
      <c r="Z80" s="185" t="str">
        <f t="shared" si="22"/>
        <v/>
      </c>
      <c r="AA80" s="186" t="str">
        <f t="shared" si="23"/>
        <v/>
      </c>
      <c r="AB80" s="187" t="str">
        <f t="shared" si="24"/>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13"/>
        <v/>
      </c>
      <c r="L81" s="183" t="str">
        <f t="shared" si="14"/>
        <v/>
      </c>
      <c r="M81" s="184" t="str">
        <f t="shared" si="15"/>
        <v/>
      </c>
      <c r="N81" s="180"/>
      <c r="O81" s="181"/>
      <c r="P81" s="182"/>
      <c r="Q81" s="168" t="str">
        <f t="shared" si="16"/>
        <v/>
      </c>
      <c r="R81" s="183" t="str">
        <f t="shared" si="17"/>
        <v/>
      </c>
      <c r="S81" s="184" t="str">
        <f t="shared" si="18"/>
        <v/>
      </c>
      <c r="T81" s="180"/>
      <c r="U81" s="181"/>
      <c r="V81" s="182"/>
      <c r="W81" s="168" t="str">
        <f t="shared" si="19"/>
        <v/>
      </c>
      <c r="X81" s="183" t="str">
        <f t="shared" si="20"/>
        <v/>
      </c>
      <c r="Y81" s="184" t="str">
        <f t="shared" si="21"/>
        <v/>
      </c>
      <c r="Z81" s="185" t="str">
        <f t="shared" si="22"/>
        <v/>
      </c>
      <c r="AA81" s="186" t="str">
        <f t="shared" si="23"/>
        <v/>
      </c>
      <c r="AB81" s="187" t="str">
        <f t="shared" si="24"/>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13"/>
        <v/>
      </c>
      <c r="L82" s="183" t="str">
        <f t="shared" si="14"/>
        <v/>
      </c>
      <c r="M82" s="184" t="str">
        <f t="shared" si="15"/>
        <v/>
      </c>
      <c r="N82" s="180"/>
      <c r="O82" s="181"/>
      <c r="P82" s="182"/>
      <c r="Q82" s="168" t="str">
        <f t="shared" si="16"/>
        <v/>
      </c>
      <c r="R82" s="183" t="str">
        <f t="shared" si="17"/>
        <v/>
      </c>
      <c r="S82" s="184" t="str">
        <f t="shared" si="18"/>
        <v/>
      </c>
      <c r="T82" s="180"/>
      <c r="U82" s="181"/>
      <c r="V82" s="182"/>
      <c r="W82" s="168" t="str">
        <f t="shared" si="19"/>
        <v/>
      </c>
      <c r="X82" s="183" t="str">
        <f t="shared" si="20"/>
        <v/>
      </c>
      <c r="Y82" s="184" t="str">
        <f t="shared" si="21"/>
        <v/>
      </c>
      <c r="Z82" s="185" t="str">
        <f t="shared" si="22"/>
        <v/>
      </c>
      <c r="AA82" s="186" t="str">
        <f t="shared" si="23"/>
        <v/>
      </c>
      <c r="AB82" s="187" t="str">
        <f t="shared" si="24"/>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13"/>
        <v/>
      </c>
      <c r="L83" s="183" t="str">
        <f t="shared" si="14"/>
        <v/>
      </c>
      <c r="M83" s="184" t="str">
        <f t="shared" si="15"/>
        <v/>
      </c>
      <c r="N83" s="180"/>
      <c r="O83" s="181"/>
      <c r="P83" s="182"/>
      <c r="Q83" s="168" t="str">
        <f t="shared" si="16"/>
        <v/>
      </c>
      <c r="R83" s="183" t="str">
        <f t="shared" si="17"/>
        <v/>
      </c>
      <c r="S83" s="184" t="str">
        <f t="shared" si="18"/>
        <v/>
      </c>
      <c r="T83" s="180"/>
      <c r="U83" s="181"/>
      <c r="V83" s="182"/>
      <c r="W83" s="168" t="str">
        <f t="shared" si="19"/>
        <v/>
      </c>
      <c r="X83" s="183" t="str">
        <f t="shared" si="20"/>
        <v/>
      </c>
      <c r="Y83" s="184" t="str">
        <f t="shared" si="21"/>
        <v/>
      </c>
      <c r="Z83" s="185" t="str">
        <f t="shared" si="22"/>
        <v/>
      </c>
      <c r="AA83" s="186" t="str">
        <f t="shared" si="23"/>
        <v/>
      </c>
      <c r="AB83" s="187" t="str">
        <f t="shared" si="24"/>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13"/>
        <v/>
      </c>
      <c r="L84" s="183" t="str">
        <f t="shared" si="14"/>
        <v/>
      </c>
      <c r="M84" s="184" t="str">
        <f t="shared" si="15"/>
        <v/>
      </c>
      <c r="N84" s="180"/>
      <c r="O84" s="181"/>
      <c r="P84" s="182"/>
      <c r="Q84" s="168" t="str">
        <f t="shared" si="16"/>
        <v/>
      </c>
      <c r="R84" s="183" t="str">
        <f t="shared" si="17"/>
        <v/>
      </c>
      <c r="S84" s="184" t="str">
        <f t="shared" si="18"/>
        <v/>
      </c>
      <c r="T84" s="180"/>
      <c r="U84" s="181"/>
      <c r="V84" s="182"/>
      <c r="W84" s="168" t="str">
        <f t="shared" si="19"/>
        <v/>
      </c>
      <c r="X84" s="183" t="str">
        <f t="shared" si="20"/>
        <v/>
      </c>
      <c r="Y84" s="184" t="str">
        <f t="shared" si="21"/>
        <v/>
      </c>
      <c r="Z84" s="185" t="str">
        <f t="shared" si="22"/>
        <v/>
      </c>
      <c r="AA84" s="186" t="str">
        <f t="shared" si="23"/>
        <v/>
      </c>
      <c r="AB84" s="187" t="str">
        <f t="shared" si="24"/>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13"/>
        <v/>
      </c>
      <c r="L85" s="183" t="str">
        <f t="shared" si="14"/>
        <v/>
      </c>
      <c r="M85" s="184" t="str">
        <f t="shared" si="15"/>
        <v/>
      </c>
      <c r="N85" s="180"/>
      <c r="O85" s="181"/>
      <c r="P85" s="182"/>
      <c r="Q85" s="168" t="str">
        <f t="shared" si="16"/>
        <v/>
      </c>
      <c r="R85" s="183" t="str">
        <f t="shared" si="17"/>
        <v/>
      </c>
      <c r="S85" s="184" t="str">
        <f t="shared" si="18"/>
        <v/>
      </c>
      <c r="T85" s="180"/>
      <c r="U85" s="181"/>
      <c r="V85" s="182"/>
      <c r="W85" s="168" t="str">
        <f t="shared" si="19"/>
        <v/>
      </c>
      <c r="X85" s="183" t="str">
        <f t="shared" si="20"/>
        <v/>
      </c>
      <c r="Y85" s="184" t="str">
        <f t="shared" si="21"/>
        <v/>
      </c>
      <c r="Z85" s="185" t="str">
        <f t="shared" si="22"/>
        <v/>
      </c>
      <c r="AA85" s="186" t="str">
        <f t="shared" si="23"/>
        <v/>
      </c>
      <c r="AB85" s="187" t="str">
        <f t="shared" si="24"/>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13"/>
        <v/>
      </c>
      <c r="L86" s="183" t="str">
        <f t="shared" si="14"/>
        <v/>
      </c>
      <c r="M86" s="184" t="str">
        <f t="shared" si="15"/>
        <v/>
      </c>
      <c r="N86" s="180"/>
      <c r="O86" s="181"/>
      <c r="P86" s="182"/>
      <c r="Q86" s="168" t="str">
        <f t="shared" si="16"/>
        <v/>
      </c>
      <c r="R86" s="183" t="str">
        <f t="shared" si="17"/>
        <v/>
      </c>
      <c r="S86" s="184" t="str">
        <f t="shared" si="18"/>
        <v/>
      </c>
      <c r="T86" s="180"/>
      <c r="U86" s="181"/>
      <c r="V86" s="182"/>
      <c r="W86" s="168" t="str">
        <f t="shared" si="19"/>
        <v/>
      </c>
      <c r="X86" s="183" t="str">
        <f t="shared" si="20"/>
        <v/>
      </c>
      <c r="Y86" s="184" t="str">
        <f t="shared" si="21"/>
        <v/>
      </c>
      <c r="Z86" s="185" t="str">
        <f t="shared" si="22"/>
        <v/>
      </c>
      <c r="AA86" s="186" t="str">
        <f t="shared" si="23"/>
        <v/>
      </c>
      <c r="AB86" s="187" t="str">
        <f t="shared" si="24"/>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13"/>
        <v/>
      </c>
      <c r="L87" s="183" t="str">
        <f t="shared" si="14"/>
        <v/>
      </c>
      <c r="M87" s="184" t="str">
        <f t="shared" si="15"/>
        <v/>
      </c>
      <c r="N87" s="180"/>
      <c r="O87" s="181"/>
      <c r="P87" s="182"/>
      <c r="Q87" s="168" t="str">
        <f t="shared" si="16"/>
        <v/>
      </c>
      <c r="R87" s="183" t="str">
        <f t="shared" si="17"/>
        <v/>
      </c>
      <c r="S87" s="184" t="str">
        <f t="shared" si="18"/>
        <v/>
      </c>
      <c r="T87" s="180"/>
      <c r="U87" s="181"/>
      <c r="V87" s="182"/>
      <c r="W87" s="168" t="str">
        <f t="shared" si="19"/>
        <v/>
      </c>
      <c r="X87" s="183" t="str">
        <f t="shared" si="20"/>
        <v/>
      </c>
      <c r="Y87" s="184" t="str">
        <f t="shared" si="21"/>
        <v/>
      </c>
      <c r="Z87" s="185" t="str">
        <f t="shared" si="22"/>
        <v/>
      </c>
      <c r="AA87" s="186" t="str">
        <f t="shared" si="23"/>
        <v/>
      </c>
      <c r="AB87" s="187" t="str">
        <f t="shared" si="24"/>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13"/>
        <v/>
      </c>
      <c r="L88" s="183" t="str">
        <f t="shared" si="14"/>
        <v/>
      </c>
      <c r="M88" s="184" t="str">
        <f t="shared" si="15"/>
        <v/>
      </c>
      <c r="N88" s="180"/>
      <c r="O88" s="181"/>
      <c r="P88" s="182"/>
      <c r="Q88" s="168" t="str">
        <f t="shared" si="16"/>
        <v/>
      </c>
      <c r="R88" s="183" t="str">
        <f t="shared" si="17"/>
        <v/>
      </c>
      <c r="S88" s="184" t="str">
        <f t="shared" si="18"/>
        <v/>
      </c>
      <c r="T88" s="180"/>
      <c r="U88" s="181"/>
      <c r="V88" s="182"/>
      <c r="W88" s="168" t="str">
        <f t="shared" si="19"/>
        <v/>
      </c>
      <c r="X88" s="183" t="str">
        <f t="shared" si="20"/>
        <v/>
      </c>
      <c r="Y88" s="184" t="str">
        <f t="shared" si="21"/>
        <v/>
      </c>
      <c r="Z88" s="185" t="str">
        <f t="shared" si="22"/>
        <v/>
      </c>
      <c r="AA88" s="186" t="str">
        <f t="shared" si="23"/>
        <v/>
      </c>
      <c r="AB88" s="187" t="str">
        <f t="shared" si="24"/>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13"/>
        <v/>
      </c>
      <c r="L89" s="183" t="str">
        <f t="shared" si="14"/>
        <v/>
      </c>
      <c r="M89" s="184" t="str">
        <f t="shared" si="15"/>
        <v/>
      </c>
      <c r="N89" s="180"/>
      <c r="O89" s="181"/>
      <c r="P89" s="182"/>
      <c r="Q89" s="168" t="str">
        <f t="shared" si="16"/>
        <v/>
      </c>
      <c r="R89" s="183" t="str">
        <f t="shared" si="17"/>
        <v/>
      </c>
      <c r="S89" s="184" t="str">
        <f t="shared" si="18"/>
        <v/>
      </c>
      <c r="T89" s="180"/>
      <c r="U89" s="181"/>
      <c r="V89" s="182"/>
      <c r="W89" s="168" t="str">
        <f t="shared" si="19"/>
        <v/>
      </c>
      <c r="X89" s="183" t="str">
        <f t="shared" si="20"/>
        <v/>
      </c>
      <c r="Y89" s="184" t="str">
        <f t="shared" si="21"/>
        <v/>
      </c>
      <c r="Z89" s="185" t="str">
        <f t="shared" si="22"/>
        <v/>
      </c>
      <c r="AA89" s="186" t="str">
        <f t="shared" si="23"/>
        <v/>
      </c>
      <c r="AB89" s="187" t="str">
        <f t="shared" si="24"/>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13"/>
        <v/>
      </c>
      <c r="L90" s="183" t="str">
        <f t="shared" si="14"/>
        <v/>
      </c>
      <c r="M90" s="184" t="str">
        <f t="shared" si="15"/>
        <v/>
      </c>
      <c r="N90" s="180"/>
      <c r="O90" s="181"/>
      <c r="P90" s="182"/>
      <c r="Q90" s="168" t="str">
        <f t="shared" si="16"/>
        <v/>
      </c>
      <c r="R90" s="183" t="str">
        <f t="shared" si="17"/>
        <v/>
      </c>
      <c r="S90" s="184" t="str">
        <f t="shared" si="18"/>
        <v/>
      </c>
      <c r="T90" s="180"/>
      <c r="U90" s="181"/>
      <c r="V90" s="182"/>
      <c r="W90" s="168" t="str">
        <f t="shared" si="19"/>
        <v/>
      </c>
      <c r="X90" s="183" t="str">
        <f t="shared" si="20"/>
        <v/>
      </c>
      <c r="Y90" s="184" t="str">
        <f t="shared" si="21"/>
        <v/>
      </c>
      <c r="Z90" s="185" t="str">
        <f t="shared" si="22"/>
        <v/>
      </c>
      <c r="AA90" s="186" t="str">
        <f t="shared" si="23"/>
        <v/>
      </c>
      <c r="AB90" s="187" t="str">
        <f t="shared" si="24"/>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13"/>
        <v/>
      </c>
      <c r="L91" s="183" t="str">
        <f t="shared" si="14"/>
        <v/>
      </c>
      <c r="M91" s="184" t="str">
        <f t="shared" si="15"/>
        <v/>
      </c>
      <c r="N91" s="180"/>
      <c r="O91" s="181"/>
      <c r="P91" s="182"/>
      <c r="Q91" s="168" t="str">
        <f t="shared" si="16"/>
        <v/>
      </c>
      <c r="R91" s="183" t="str">
        <f t="shared" si="17"/>
        <v/>
      </c>
      <c r="S91" s="184" t="str">
        <f t="shared" si="18"/>
        <v/>
      </c>
      <c r="T91" s="180"/>
      <c r="U91" s="181"/>
      <c r="V91" s="182"/>
      <c r="W91" s="168" t="str">
        <f t="shared" si="19"/>
        <v/>
      </c>
      <c r="X91" s="183" t="str">
        <f t="shared" si="20"/>
        <v/>
      </c>
      <c r="Y91" s="184" t="str">
        <f t="shared" si="21"/>
        <v/>
      </c>
      <c r="Z91" s="185" t="str">
        <f t="shared" si="22"/>
        <v/>
      </c>
      <c r="AA91" s="186" t="str">
        <f t="shared" si="23"/>
        <v/>
      </c>
      <c r="AB91" s="187" t="str">
        <f t="shared" si="24"/>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13"/>
        <v/>
      </c>
      <c r="L92" s="183" t="str">
        <f t="shared" si="14"/>
        <v/>
      </c>
      <c r="M92" s="184" t="str">
        <f t="shared" si="15"/>
        <v/>
      </c>
      <c r="N92" s="180"/>
      <c r="O92" s="181"/>
      <c r="P92" s="182"/>
      <c r="Q92" s="168" t="str">
        <f t="shared" si="16"/>
        <v/>
      </c>
      <c r="R92" s="183" t="str">
        <f t="shared" si="17"/>
        <v/>
      </c>
      <c r="S92" s="184" t="str">
        <f t="shared" si="18"/>
        <v/>
      </c>
      <c r="T92" s="180"/>
      <c r="U92" s="181"/>
      <c r="V92" s="182"/>
      <c r="W92" s="168" t="str">
        <f t="shared" si="19"/>
        <v/>
      </c>
      <c r="X92" s="183" t="str">
        <f t="shared" si="20"/>
        <v/>
      </c>
      <c r="Y92" s="184" t="str">
        <f t="shared" si="21"/>
        <v/>
      </c>
      <c r="Z92" s="185" t="str">
        <f t="shared" si="22"/>
        <v/>
      </c>
      <c r="AA92" s="186" t="str">
        <f t="shared" si="23"/>
        <v/>
      </c>
      <c r="AB92" s="187" t="str">
        <f t="shared" si="24"/>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13"/>
        <v/>
      </c>
      <c r="L93" s="183" t="str">
        <f t="shared" si="14"/>
        <v/>
      </c>
      <c r="M93" s="184" t="str">
        <f t="shared" si="15"/>
        <v/>
      </c>
      <c r="N93" s="180"/>
      <c r="O93" s="181"/>
      <c r="P93" s="182"/>
      <c r="Q93" s="168" t="str">
        <f t="shared" si="16"/>
        <v/>
      </c>
      <c r="R93" s="183" t="str">
        <f t="shared" si="17"/>
        <v/>
      </c>
      <c r="S93" s="184" t="str">
        <f t="shared" si="18"/>
        <v/>
      </c>
      <c r="T93" s="180"/>
      <c r="U93" s="181"/>
      <c r="V93" s="182"/>
      <c r="W93" s="168" t="str">
        <f t="shared" si="19"/>
        <v/>
      </c>
      <c r="X93" s="183" t="str">
        <f t="shared" si="20"/>
        <v/>
      </c>
      <c r="Y93" s="184" t="str">
        <f t="shared" si="21"/>
        <v/>
      </c>
      <c r="Z93" s="185" t="str">
        <f t="shared" si="22"/>
        <v/>
      </c>
      <c r="AA93" s="186" t="str">
        <f t="shared" si="23"/>
        <v/>
      </c>
      <c r="AB93" s="187" t="str">
        <f t="shared" si="24"/>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13"/>
        <v/>
      </c>
      <c r="L94" s="183" t="str">
        <f t="shared" si="14"/>
        <v/>
      </c>
      <c r="M94" s="184" t="str">
        <f t="shared" si="15"/>
        <v/>
      </c>
      <c r="N94" s="180"/>
      <c r="O94" s="181"/>
      <c r="P94" s="182"/>
      <c r="Q94" s="168" t="str">
        <f t="shared" si="16"/>
        <v/>
      </c>
      <c r="R94" s="183" t="str">
        <f t="shared" si="17"/>
        <v/>
      </c>
      <c r="S94" s="184" t="str">
        <f t="shared" si="18"/>
        <v/>
      </c>
      <c r="T94" s="180"/>
      <c r="U94" s="181"/>
      <c r="V94" s="182"/>
      <c r="W94" s="168" t="str">
        <f t="shared" si="19"/>
        <v/>
      </c>
      <c r="X94" s="183" t="str">
        <f t="shared" si="20"/>
        <v/>
      </c>
      <c r="Y94" s="184" t="str">
        <f t="shared" si="21"/>
        <v/>
      </c>
      <c r="Z94" s="185" t="str">
        <f t="shared" si="22"/>
        <v/>
      </c>
      <c r="AA94" s="186" t="str">
        <f t="shared" si="23"/>
        <v/>
      </c>
      <c r="AB94" s="187" t="str">
        <f t="shared" si="24"/>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13"/>
        <v/>
      </c>
      <c r="L95" s="183" t="str">
        <f t="shared" si="14"/>
        <v/>
      </c>
      <c r="M95" s="184" t="str">
        <f t="shared" si="15"/>
        <v/>
      </c>
      <c r="N95" s="180"/>
      <c r="O95" s="181"/>
      <c r="P95" s="182"/>
      <c r="Q95" s="168" t="str">
        <f t="shared" si="16"/>
        <v/>
      </c>
      <c r="R95" s="183" t="str">
        <f t="shared" si="17"/>
        <v/>
      </c>
      <c r="S95" s="184" t="str">
        <f t="shared" si="18"/>
        <v/>
      </c>
      <c r="T95" s="180"/>
      <c r="U95" s="181"/>
      <c r="V95" s="182"/>
      <c r="W95" s="168" t="str">
        <f t="shared" si="19"/>
        <v/>
      </c>
      <c r="X95" s="183" t="str">
        <f t="shared" si="20"/>
        <v/>
      </c>
      <c r="Y95" s="184" t="str">
        <f t="shared" si="21"/>
        <v/>
      </c>
      <c r="Z95" s="185" t="str">
        <f t="shared" si="22"/>
        <v/>
      </c>
      <c r="AA95" s="186" t="str">
        <f t="shared" si="23"/>
        <v/>
      </c>
      <c r="AB95" s="187" t="str">
        <f t="shared" si="24"/>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13"/>
        <v/>
      </c>
      <c r="L96" s="183" t="str">
        <f t="shared" si="14"/>
        <v/>
      </c>
      <c r="M96" s="184" t="str">
        <f t="shared" si="15"/>
        <v/>
      </c>
      <c r="N96" s="180"/>
      <c r="O96" s="181"/>
      <c r="P96" s="182"/>
      <c r="Q96" s="168" t="str">
        <f t="shared" si="16"/>
        <v/>
      </c>
      <c r="R96" s="183" t="str">
        <f t="shared" si="17"/>
        <v/>
      </c>
      <c r="S96" s="184" t="str">
        <f t="shared" si="18"/>
        <v/>
      </c>
      <c r="T96" s="180"/>
      <c r="U96" s="181"/>
      <c r="V96" s="182"/>
      <c r="W96" s="168" t="str">
        <f t="shared" si="19"/>
        <v/>
      </c>
      <c r="X96" s="183" t="str">
        <f t="shared" si="20"/>
        <v/>
      </c>
      <c r="Y96" s="184" t="str">
        <f t="shared" si="21"/>
        <v/>
      </c>
      <c r="Z96" s="185" t="str">
        <f t="shared" si="22"/>
        <v/>
      </c>
      <c r="AA96" s="186" t="str">
        <f t="shared" si="23"/>
        <v/>
      </c>
      <c r="AB96" s="187" t="str">
        <f t="shared" si="24"/>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13"/>
        <v/>
      </c>
      <c r="L97" s="183" t="str">
        <f t="shared" si="14"/>
        <v/>
      </c>
      <c r="M97" s="184" t="str">
        <f t="shared" si="15"/>
        <v/>
      </c>
      <c r="N97" s="180"/>
      <c r="O97" s="181"/>
      <c r="P97" s="182"/>
      <c r="Q97" s="168" t="str">
        <f t="shared" si="16"/>
        <v/>
      </c>
      <c r="R97" s="183" t="str">
        <f t="shared" si="17"/>
        <v/>
      </c>
      <c r="S97" s="184" t="str">
        <f t="shared" si="18"/>
        <v/>
      </c>
      <c r="T97" s="180"/>
      <c r="U97" s="181"/>
      <c r="V97" s="182"/>
      <c r="W97" s="168" t="str">
        <f t="shared" si="19"/>
        <v/>
      </c>
      <c r="X97" s="183" t="str">
        <f t="shared" si="20"/>
        <v/>
      </c>
      <c r="Y97" s="184" t="str">
        <f t="shared" si="21"/>
        <v/>
      </c>
      <c r="Z97" s="185" t="str">
        <f t="shared" si="22"/>
        <v/>
      </c>
      <c r="AA97" s="186" t="str">
        <f t="shared" si="23"/>
        <v/>
      </c>
      <c r="AB97" s="187" t="str">
        <f t="shared" si="24"/>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13"/>
        <v/>
      </c>
      <c r="L98" s="183" t="str">
        <f t="shared" si="14"/>
        <v/>
      </c>
      <c r="M98" s="184" t="str">
        <f t="shared" si="15"/>
        <v/>
      </c>
      <c r="N98" s="180"/>
      <c r="O98" s="181"/>
      <c r="P98" s="182"/>
      <c r="Q98" s="168" t="str">
        <f t="shared" si="16"/>
        <v/>
      </c>
      <c r="R98" s="183" t="str">
        <f t="shared" si="17"/>
        <v/>
      </c>
      <c r="S98" s="184" t="str">
        <f t="shared" si="18"/>
        <v/>
      </c>
      <c r="T98" s="180"/>
      <c r="U98" s="181"/>
      <c r="V98" s="182"/>
      <c r="W98" s="168" t="str">
        <f t="shared" si="19"/>
        <v/>
      </c>
      <c r="X98" s="183" t="str">
        <f t="shared" si="20"/>
        <v/>
      </c>
      <c r="Y98" s="184" t="str">
        <f t="shared" si="21"/>
        <v/>
      </c>
      <c r="Z98" s="185" t="str">
        <f t="shared" si="22"/>
        <v/>
      </c>
      <c r="AA98" s="186" t="str">
        <f t="shared" si="23"/>
        <v/>
      </c>
      <c r="AB98" s="187" t="str">
        <f t="shared" si="24"/>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13"/>
        <v/>
      </c>
      <c r="L99" s="183" t="str">
        <f t="shared" si="14"/>
        <v/>
      </c>
      <c r="M99" s="184" t="str">
        <f t="shared" si="15"/>
        <v/>
      </c>
      <c r="N99" s="180"/>
      <c r="O99" s="181"/>
      <c r="P99" s="182"/>
      <c r="Q99" s="168" t="str">
        <f t="shared" si="16"/>
        <v/>
      </c>
      <c r="R99" s="183" t="str">
        <f t="shared" si="17"/>
        <v/>
      </c>
      <c r="S99" s="184" t="str">
        <f t="shared" si="18"/>
        <v/>
      </c>
      <c r="T99" s="180"/>
      <c r="U99" s="181"/>
      <c r="V99" s="182"/>
      <c r="W99" s="168" t="str">
        <f t="shared" si="19"/>
        <v/>
      </c>
      <c r="X99" s="183" t="str">
        <f t="shared" si="20"/>
        <v/>
      </c>
      <c r="Y99" s="184" t="str">
        <f t="shared" si="21"/>
        <v/>
      </c>
      <c r="Z99" s="185" t="str">
        <f t="shared" si="22"/>
        <v/>
      </c>
      <c r="AA99" s="186" t="str">
        <f t="shared" si="23"/>
        <v/>
      </c>
      <c r="AB99" s="187" t="str">
        <f t="shared" si="24"/>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13"/>
        <v/>
      </c>
      <c r="L100" s="183" t="str">
        <f t="shared" si="14"/>
        <v/>
      </c>
      <c r="M100" s="184" t="str">
        <f t="shared" si="15"/>
        <v/>
      </c>
      <c r="N100" s="180"/>
      <c r="O100" s="181"/>
      <c r="P100" s="182"/>
      <c r="Q100" s="168" t="str">
        <f t="shared" si="16"/>
        <v/>
      </c>
      <c r="R100" s="183" t="str">
        <f t="shared" si="17"/>
        <v/>
      </c>
      <c r="S100" s="184" t="str">
        <f t="shared" si="18"/>
        <v/>
      </c>
      <c r="T100" s="180"/>
      <c r="U100" s="181"/>
      <c r="V100" s="182"/>
      <c r="W100" s="168" t="str">
        <f t="shared" si="19"/>
        <v/>
      </c>
      <c r="X100" s="183" t="str">
        <f t="shared" si="20"/>
        <v/>
      </c>
      <c r="Y100" s="184" t="str">
        <f t="shared" si="21"/>
        <v/>
      </c>
      <c r="Z100" s="185" t="str">
        <f t="shared" si="22"/>
        <v/>
      </c>
      <c r="AA100" s="186" t="str">
        <f t="shared" si="23"/>
        <v/>
      </c>
      <c r="AB100" s="187" t="str">
        <f t="shared" si="24"/>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si="13"/>
        <v/>
      </c>
      <c r="L101" s="183" t="str">
        <f t="shared" si="14"/>
        <v/>
      </c>
      <c r="M101" s="184" t="str">
        <f t="shared" si="15"/>
        <v/>
      </c>
      <c r="N101" s="180"/>
      <c r="O101" s="181"/>
      <c r="P101" s="182"/>
      <c r="Q101" s="168" t="str">
        <f t="shared" si="16"/>
        <v/>
      </c>
      <c r="R101" s="183" t="str">
        <f t="shared" si="17"/>
        <v/>
      </c>
      <c r="S101" s="184" t="str">
        <f t="shared" si="18"/>
        <v/>
      </c>
      <c r="T101" s="180"/>
      <c r="U101" s="181"/>
      <c r="V101" s="182"/>
      <c r="W101" s="168" t="str">
        <f t="shared" si="19"/>
        <v/>
      </c>
      <c r="X101" s="183" t="str">
        <f t="shared" si="20"/>
        <v/>
      </c>
      <c r="Y101" s="184" t="str">
        <f t="shared" si="21"/>
        <v/>
      </c>
      <c r="Z101" s="185" t="str">
        <f t="shared" si="22"/>
        <v/>
      </c>
      <c r="AA101" s="186" t="str">
        <f t="shared" si="23"/>
        <v/>
      </c>
      <c r="AB101" s="187" t="str">
        <f t="shared" si="24"/>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13"/>
        <v/>
      </c>
      <c r="L102" s="183" t="str">
        <f t="shared" si="14"/>
        <v/>
      </c>
      <c r="M102" s="184" t="str">
        <f t="shared" si="15"/>
        <v/>
      </c>
      <c r="N102" s="180"/>
      <c r="O102" s="181"/>
      <c r="P102" s="182"/>
      <c r="Q102" s="168" t="str">
        <f t="shared" si="16"/>
        <v/>
      </c>
      <c r="R102" s="183" t="str">
        <f t="shared" si="17"/>
        <v/>
      </c>
      <c r="S102" s="184" t="str">
        <f t="shared" si="18"/>
        <v/>
      </c>
      <c r="T102" s="180"/>
      <c r="U102" s="181"/>
      <c r="V102" s="182"/>
      <c r="W102" s="168" t="str">
        <f t="shared" si="19"/>
        <v/>
      </c>
      <c r="X102" s="183" t="str">
        <f t="shared" si="20"/>
        <v/>
      </c>
      <c r="Y102" s="184" t="str">
        <f t="shared" si="21"/>
        <v/>
      </c>
      <c r="Z102" s="185" t="str">
        <f t="shared" si="22"/>
        <v/>
      </c>
      <c r="AA102" s="186" t="str">
        <f t="shared" si="23"/>
        <v/>
      </c>
      <c r="AB102" s="187" t="str">
        <f t="shared" si="24"/>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13"/>
        <v/>
      </c>
      <c r="L103" s="183" t="str">
        <f t="shared" si="14"/>
        <v/>
      </c>
      <c r="M103" s="184" t="str">
        <f t="shared" si="15"/>
        <v/>
      </c>
      <c r="N103" s="180"/>
      <c r="O103" s="181"/>
      <c r="P103" s="182"/>
      <c r="Q103" s="168" t="str">
        <f t="shared" si="16"/>
        <v/>
      </c>
      <c r="R103" s="183" t="str">
        <f t="shared" si="17"/>
        <v/>
      </c>
      <c r="S103" s="184" t="str">
        <f t="shared" si="18"/>
        <v/>
      </c>
      <c r="T103" s="180"/>
      <c r="U103" s="181"/>
      <c r="V103" s="182"/>
      <c r="W103" s="168" t="str">
        <f t="shared" si="19"/>
        <v/>
      </c>
      <c r="X103" s="183" t="str">
        <f t="shared" si="20"/>
        <v/>
      </c>
      <c r="Y103" s="184" t="str">
        <f t="shared" si="21"/>
        <v/>
      </c>
      <c r="Z103" s="185" t="str">
        <f t="shared" si="22"/>
        <v/>
      </c>
      <c r="AA103" s="186" t="str">
        <f t="shared" si="23"/>
        <v/>
      </c>
      <c r="AB103" s="187" t="str">
        <f t="shared" si="24"/>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13"/>
        <v/>
      </c>
      <c r="L104" s="183" t="str">
        <f t="shared" si="14"/>
        <v/>
      </c>
      <c r="M104" s="184" t="str">
        <f t="shared" si="15"/>
        <v/>
      </c>
      <c r="N104" s="180"/>
      <c r="O104" s="181"/>
      <c r="P104" s="182"/>
      <c r="Q104" s="168" t="str">
        <f t="shared" si="16"/>
        <v/>
      </c>
      <c r="R104" s="183" t="str">
        <f t="shared" si="17"/>
        <v/>
      </c>
      <c r="S104" s="184" t="str">
        <f t="shared" si="18"/>
        <v/>
      </c>
      <c r="T104" s="180"/>
      <c r="U104" s="181"/>
      <c r="V104" s="182"/>
      <c r="W104" s="168" t="str">
        <f t="shared" si="19"/>
        <v/>
      </c>
      <c r="X104" s="183" t="str">
        <f t="shared" si="20"/>
        <v/>
      </c>
      <c r="Y104" s="184" t="str">
        <f t="shared" si="21"/>
        <v/>
      </c>
      <c r="Z104" s="185" t="str">
        <f t="shared" si="22"/>
        <v/>
      </c>
      <c r="AA104" s="186" t="str">
        <f t="shared" si="23"/>
        <v/>
      </c>
      <c r="AB104" s="187" t="str">
        <f t="shared" si="24"/>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13"/>
        <v/>
      </c>
      <c r="L105" s="183" t="str">
        <f t="shared" si="14"/>
        <v/>
      </c>
      <c r="M105" s="184" t="str">
        <f t="shared" si="15"/>
        <v/>
      </c>
      <c r="N105" s="180"/>
      <c r="O105" s="181"/>
      <c r="P105" s="182"/>
      <c r="Q105" s="168" t="str">
        <f t="shared" si="16"/>
        <v/>
      </c>
      <c r="R105" s="183" t="str">
        <f t="shared" si="17"/>
        <v/>
      </c>
      <c r="S105" s="184" t="str">
        <f t="shared" si="18"/>
        <v/>
      </c>
      <c r="T105" s="180"/>
      <c r="U105" s="181"/>
      <c r="V105" s="182"/>
      <c r="W105" s="168" t="str">
        <f t="shared" si="19"/>
        <v/>
      </c>
      <c r="X105" s="183" t="str">
        <f t="shared" si="20"/>
        <v/>
      </c>
      <c r="Y105" s="184" t="str">
        <f t="shared" si="21"/>
        <v/>
      </c>
      <c r="Z105" s="185" t="str">
        <f t="shared" si="22"/>
        <v/>
      </c>
      <c r="AA105" s="186" t="str">
        <f t="shared" si="23"/>
        <v/>
      </c>
      <c r="AB105" s="187" t="str">
        <f t="shared" si="24"/>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13"/>
        <v/>
      </c>
      <c r="L106" s="183" t="str">
        <f t="shared" si="14"/>
        <v/>
      </c>
      <c r="M106" s="184" t="str">
        <f t="shared" si="15"/>
        <v/>
      </c>
      <c r="N106" s="180"/>
      <c r="O106" s="181"/>
      <c r="P106" s="182"/>
      <c r="Q106" s="168" t="str">
        <f t="shared" si="16"/>
        <v/>
      </c>
      <c r="R106" s="183" t="str">
        <f t="shared" si="17"/>
        <v/>
      </c>
      <c r="S106" s="184" t="str">
        <f t="shared" si="18"/>
        <v/>
      </c>
      <c r="T106" s="180"/>
      <c r="U106" s="181"/>
      <c r="V106" s="182"/>
      <c r="W106" s="168" t="str">
        <f t="shared" si="19"/>
        <v/>
      </c>
      <c r="X106" s="183" t="str">
        <f t="shared" si="20"/>
        <v/>
      </c>
      <c r="Y106" s="184" t="str">
        <f t="shared" si="21"/>
        <v/>
      </c>
      <c r="Z106" s="185" t="str">
        <f t="shared" si="22"/>
        <v/>
      </c>
      <c r="AA106" s="186" t="str">
        <f t="shared" si="23"/>
        <v/>
      </c>
      <c r="AB106" s="187" t="str">
        <f t="shared" si="24"/>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13"/>
        <v/>
      </c>
      <c r="L107" s="183" t="str">
        <f t="shared" si="14"/>
        <v/>
      </c>
      <c r="M107" s="184" t="str">
        <f t="shared" si="15"/>
        <v/>
      </c>
      <c r="N107" s="180"/>
      <c r="O107" s="181"/>
      <c r="P107" s="182"/>
      <c r="Q107" s="168" t="str">
        <f t="shared" si="16"/>
        <v/>
      </c>
      <c r="R107" s="183" t="str">
        <f t="shared" si="17"/>
        <v/>
      </c>
      <c r="S107" s="184" t="str">
        <f t="shared" si="18"/>
        <v/>
      </c>
      <c r="T107" s="180"/>
      <c r="U107" s="181"/>
      <c r="V107" s="182"/>
      <c r="W107" s="168" t="str">
        <f t="shared" si="19"/>
        <v/>
      </c>
      <c r="X107" s="183" t="str">
        <f t="shared" si="20"/>
        <v/>
      </c>
      <c r="Y107" s="184" t="str">
        <f t="shared" si="21"/>
        <v/>
      </c>
      <c r="Z107" s="185" t="str">
        <f t="shared" si="22"/>
        <v/>
      </c>
      <c r="AA107" s="186" t="str">
        <f t="shared" si="23"/>
        <v/>
      </c>
      <c r="AB107" s="187" t="str">
        <f t="shared" si="24"/>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13"/>
        <v/>
      </c>
      <c r="L108" s="183" t="str">
        <f t="shared" si="14"/>
        <v/>
      </c>
      <c r="M108" s="184" t="str">
        <f t="shared" si="15"/>
        <v/>
      </c>
      <c r="N108" s="180"/>
      <c r="O108" s="181"/>
      <c r="P108" s="182"/>
      <c r="Q108" s="168" t="str">
        <f t="shared" si="16"/>
        <v/>
      </c>
      <c r="R108" s="183" t="str">
        <f t="shared" si="17"/>
        <v/>
      </c>
      <c r="S108" s="184" t="str">
        <f t="shared" si="18"/>
        <v/>
      </c>
      <c r="T108" s="180"/>
      <c r="U108" s="181"/>
      <c r="V108" s="182"/>
      <c r="W108" s="168" t="str">
        <f t="shared" si="19"/>
        <v/>
      </c>
      <c r="X108" s="183" t="str">
        <f t="shared" si="20"/>
        <v/>
      </c>
      <c r="Y108" s="184" t="str">
        <f t="shared" si="21"/>
        <v/>
      </c>
      <c r="Z108" s="185" t="str">
        <f t="shared" si="22"/>
        <v/>
      </c>
      <c r="AA108" s="186" t="str">
        <f t="shared" si="23"/>
        <v/>
      </c>
      <c r="AB108" s="187" t="str">
        <f t="shared" si="24"/>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13"/>
        <v/>
      </c>
      <c r="L109" s="183" t="str">
        <f t="shared" si="14"/>
        <v/>
      </c>
      <c r="M109" s="184" t="str">
        <f t="shared" si="15"/>
        <v/>
      </c>
      <c r="N109" s="180"/>
      <c r="O109" s="181"/>
      <c r="P109" s="182"/>
      <c r="Q109" s="168" t="str">
        <f t="shared" si="16"/>
        <v/>
      </c>
      <c r="R109" s="183" t="str">
        <f t="shared" si="17"/>
        <v/>
      </c>
      <c r="S109" s="184" t="str">
        <f t="shared" si="18"/>
        <v/>
      </c>
      <c r="T109" s="180"/>
      <c r="U109" s="181"/>
      <c r="V109" s="182"/>
      <c r="W109" s="168" t="str">
        <f t="shared" si="19"/>
        <v/>
      </c>
      <c r="X109" s="183" t="str">
        <f t="shared" si="20"/>
        <v/>
      </c>
      <c r="Y109" s="184" t="str">
        <f t="shared" si="21"/>
        <v/>
      </c>
      <c r="Z109" s="185" t="str">
        <f t="shared" si="22"/>
        <v/>
      </c>
      <c r="AA109" s="186" t="str">
        <f t="shared" si="23"/>
        <v/>
      </c>
      <c r="AB109" s="187" t="str">
        <f t="shared" si="24"/>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13"/>
        <v/>
      </c>
      <c r="L110" s="183" t="str">
        <f t="shared" si="14"/>
        <v/>
      </c>
      <c r="M110" s="184" t="str">
        <f t="shared" si="15"/>
        <v/>
      </c>
      <c r="N110" s="180"/>
      <c r="O110" s="181"/>
      <c r="P110" s="182"/>
      <c r="Q110" s="168" t="str">
        <f t="shared" si="16"/>
        <v/>
      </c>
      <c r="R110" s="183" t="str">
        <f t="shared" si="17"/>
        <v/>
      </c>
      <c r="S110" s="184" t="str">
        <f t="shared" si="18"/>
        <v/>
      </c>
      <c r="T110" s="180"/>
      <c r="U110" s="181"/>
      <c r="V110" s="182"/>
      <c r="W110" s="168" t="str">
        <f t="shared" si="19"/>
        <v/>
      </c>
      <c r="X110" s="183" t="str">
        <f t="shared" si="20"/>
        <v/>
      </c>
      <c r="Y110" s="184" t="str">
        <f t="shared" si="21"/>
        <v/>
      </c>
      <c r="Z110" s="185" t="str">
        <f t="shared" si="22"/>
        <v/>
      </c>
      <c r="AA110" s="186" t="str">
        <f t="shared" si="23"/>
        <v/>
      </c>
      <c r="AB110" s="187" t="str">
        <f t="shared" si="24"/>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13"/>
        <v/>
      </c>
      <c r="L111" s="183" t="str">
        <f t="shared" si="14"/>
        <v/>
      </c>
      <c r="M111" s="184" t="str">
        <f t="shared" si="15"/>
        <v/>
      </c>
      <c r="N111" s="180"/>
      <c r="O111" s="181"/>
      <c r="P111" s="182"/>
      <c r="Q111" s="168" t="str">
        <f t="shared" si="16"/>
        <v/>
      </c>
      <c r="R111" s="183" t="str">
        <f t="shared" si="17"/>
        <v/>
      </c>
      <c r="S111" s="184" t="str">
        <f t="shared" si="18"/>
        <v/>
      </c>
      <c r="T111" s="180"/>
      <c r="U111" s="181"/>
      <c r="V111" s="182"/>
      <c r="W111" s="168" t="str">
        <f t="shared" si="19"/>
        <v/>
      </c>
      <c r="X111" s="183" t="str">
        <f t="shared" si="20"/>
        <v/>
      </c>
      <c r="Y111" s="184" t="str">
        <f t="shared" si="21"/>
        <v/>
      </c>
      <c r="Z111" s="185" t="str">
        <f t="shared" si="22"/>
        <v/>
      </c>
      <c r="AA111" s="186" t="str">
        <f t="shared" si="23"/>
        <v/>
      </c>
      <c r="AB111" s="187" t="str">
        <f t="shared" si="24"/>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13"/>
        <v/>
      </c>
      <c r="L112" s="183" t="str">
        <f t="shared" si="14"/>
        <v/>
      </c>
      <c r="M112" s="184" t="str">
        <f t="shared" si="15"/>
        <v/>
      </c>
      <c r="N112" s="180"/>
      <c r="O112" s="181"/>
      <c r="P112" s="182"/>
      <c r="Q112" s="168" t="str">
        <f t="shared" si="16"/>
        <v/>
      </c>
      <c r="R112" s="183" t="str">
        <f t="shared" si="17"/>
        <v/>
      </c>
      <c r="S112" s="184" t="str">
        <f t="shared" si="18"/>
        <v/>
      </c>
      <c r="T112" s="180"/>
      <c r="U112" s="181"/>
      <c r="V112" s="182"/>
      <c r="W112" s="168" t="str">
        <f t="shared" si="19"/>
        <v/>
      </c>
      <c r="X112" s="183" t="str">
        <f t="shared" si="20"/>
        <v/>
      </c>
      <c r="Y112" s="184" t="str">
        <f t="shared" si="21"/>
        <v/>
      </c>
      <c r="Z112" s="185" t="str">
        <f t="shared" si="22"/>
        <v/>
      </c>
      <c r="AA112" s="186" t="str">
        <f t="shared" si="23"/>
        <v/>
      </c>
      <c r="AB112" s="187" t="str">
        <f t="shared" si="24"/>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13"/>
        <v/>
      </c>
      <c r="L113" s="183" t="str">
        <f t="shared" si="14"/>
        <v/>
      </c>
      <c r="M113" s="184" t="str">
        <f t="shared" si="15"/>
        <v/>
      </c>
      <c r="N113" s="180"/>
      <c r="O113" s="181"/>
      <c r="P113" s="182"/>
      <c r="Q113" s="168" t="str">
        <f t="shared" si="16"/>
        <v/>
      </c>
      <c r="R113" s="183" t="str">
        <f t="shared" si="17"/>
        <v/>
      </c>
      <c r="S113" s="184" t="str">
        <f t="shared" si="18"/>
        <v/>
      </c>
      <c r="T113" s="180"/>
      <c r="U113" s="181"/>
      <c r="V113" s="182"/>
      <c r="W113" s="168" t="str">
        <f t="shared" si="19"/>
        <v/>
      </c>
      <c r="X113" s="183" t="str">
        <f t="shared" si="20"/>
        <v/>
      </c>
      <c r="Y113" s="184" t="str">
        <f t="shared" si="21"/>
        <v/>
      </c>
      <c r="Z113" s="185" t="str">
        <f t="shared" si="22"/>
        <v/>
      </c>
      <c r="AA113" s="186" t="str">
        <f t="shared" si="23"/>
        <v/>
      </c>
      <c r="AB113" s="187" t="str">
        <f t="shared" si="24"/>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13"/>
        <v/>
      </c>
      <c r="L114" s="183" t="str">
        <f t="shared" si="14"/>
        <v/>
      </c>
      <c r="M114" s="184" t="str">
        <f t="shared" si="15"/>
        <v/>
      </c>
      <c r="N114" s="180"/>
      <c r="O114" s="181"/>
      <c r="P114" s="182"/>
      <c r="Q114" s="168" t="str">
        <f t="shared" si="16"/>
        <v/>
      </c>
      <c r="R114" s="183" t="str">
        <f t="shared" si="17"/>
        <v/>
      </c>
      <c r="S114" s="184" t="str">
        <f t="shared" si="18"/>
        <v/>
      </c>
      <c r="T114" s="180"/>
      <c r="U114" s="181"/>
      <c r="V114" s="182"/>
      <c r="W114" s="168" t="str">
        <f t="shared" si="19"/>
        <v/>
      </c>
      <c r="X114" s="183" t="str">
        <f t="shared" si="20"/>
        <v/>
      </c>
      <c r="Y114" s="184" t="str">
        <f t="shared" si="21"/>
        <v/>
      </c>
      <c r="Z114" s="185" t="str">
        <f t="shared" si="22"/>
        <v/>
      </c>
      <c r="AA114" s="186" t="str">
        <f t="shared" si="23"/>
        <v/>
      </c>
      <c r="AB114" s="187" t="str">
        <f t="shared" si="24"/>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13"/>
        <v/>
      </c>
      <c r="L115" s="183" t="str">
        <f t="shared" si="14"/>
        <v/>
      </c>
      <c r="M115" s="184" t="str">
        <f t="shared" si="15"/>
        <v/>
      </c>
      <c r="N115" s="180"/>
      <c r="O115" s="181"/>
      <c r="P115" s="182"/>
      <c r="Q115" s="168" t="str">
        <f t="shared" si="16"/>
        <v/>
      </c>
      <c r="R115" s="183" t="str">
        <f t="shared" si="17"/>
        <v/>
      </c>
      <c r="S115" s="184" t="str">
        <f t="shared" si="18"/>
        <v/>
      </c>
      <c r="T115" s="180"/>
      <c r="U115" s="181"/>
      <c r="V115" s="182"/>
      <c r="W115" s="168" t="str">
        <f t="shared" si="19"/>
        <v/>
      </c>
      <c r="X115" s="183" t="str">
        <f t="shared" si="20"/>
        <v/>
      </c>
      <c r="Y115" s="184" t="str">
        <f t="shared" si="21"/>
        <v/>
      </c>
      <c r="Z115" s="185" t="str">
        <f t="shared" si="22"/>
        <v/>
      </c>
      <c r="AA115" s="186" t="str">
        <f t="shared" si="23"/>
        <v/>
      </c>
      <c r="AB115" s="187" t="str">
        <f t="shared" si="24"/>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13"/>
        <v/>
      </c>
      <c r="L116" s="183" t="str">
        <f t="shared" si="14"/>
        <v/>
      </c>
      <c r="M116" s="184" t="str">
        <f t="shared" si="15"/>
        <v/>
      </c>
      <c r="N116" s="180"/>
      <c r="O116" s="181"/>
      <c r="P116" s="182"/>
      <c r="Q116" s="168" t="str">
        <f t="shared" si="16"/>
        <v/>
      </c>
      <c r="R116" s="183" t="str">
        <f t="shared" si="17"/>
        <v/>
      </c>
      <c r="S116" s="184" t="str">
        <f t="shared" si="18"/>
        <v/>
      </c>
      <c r="T116" s="180"/>
      <c r="U116" s="181"/>
      <c r="V116" s="182"/>
      <c r="W116" s="168" t="str">
        <f t="shared" si="19"/>
        <v/>
      </c>
      <c r="X116" s="183" t="str">
        <f t="shared" si="20"/>
        <v/>
      </c>
      <c r="Y116" s="184" t="str">
        <f t="shared" si="21"/>
        <v/>
      </c>
      <c r="Z116" s="185" t="str">
        <f t="shared" si="22"/>
        <v/>
      </c>
      <c r="AA116" s="186" t="str">
        <f t="shared" si="23"/>
        <v/>
      </c>
      <c r="AB116" s="187" t="str">
        <f t="shared" si="24"/>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13"/>
        <v/>
      </c>
      <c r="L117" s="183" t="str">
        <f t="shared" si="14"/>
        <v/>
      </c>
      <c r="M117" s="184" t="str">
        <f t="shared" si="15"/>
        <v/>
      </c>
      <c r="N117" s="180"/>
      <c r="O117" s="181"/>
      <c r="P117" s="182"/>
      <c r="Q117" s="168" t="str">
        <f t="shared" si="16"/>
        <v/>
      </c>
      <c r="R117" s="183" t="str">
        <f t="shared" si="17"/>
        <v/>
      </c>
      <c r="S117" s="184" t="str">
        <f t="shared" si="18"/>
        <v/>
      </c>
      <c r="T117" s="180"/>
      <c r="U117" s="181"/>
      <c r="V117" s="182"/>
      <c r="W117" s="168" t="str">
        <f t="shared" si="19"/>
        <v/>
      </c>
      <c r="X117" s="183" t="str">
        <f t="shared" si="20"/>
        <v/>
      </c>
      <c r="Y117" s="184" t="str">
        <f t="shared" si="21"/>
        <v/>
      </c>
      <c r="Z117" s="185" t="str">
        <f t="shared" si="22"/>
        <v/>
      </c>
      <c r="AA117" s="186" t="str">
        <f t="shared" si="23"/>
        <v/>
      </c>
      <c r="AB117" s="187" t="str">
        <f t="shared" si="24"/>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13"/>
        <v/>
      </c>
      <c r="L118" s="214" t="str">
        <f t="shared" si="14"/>
        <v/>
      </c>
      <c r="M118" s="215" t="str">
        <f t="shared" si="15"/>
        <v/>
      </c>
      <c r="N118" s="190"/>
      <c r="O118" s="191"/>
      <c r="P118" s="192"/>
      <c r="Q118" s="213" t="str">
        <f t="shared" si="16"/>
        <v/>
      </c>
      <c r="R118" s="214" t="str">
        <f t="shared" si="17"/>
        <v/>
      </c>
      <c r="S118" s="215" t="str">
        <f t="shared" si="18"/>
        <v/>
      </c>
      <c r="T118" s="190"/>
      <c r="U118" s="191"/>
      <c r="V118" s="192"/>
      <c r="W118" s="213" t="str">
        <f t="shared" si="19"/>
        <v/>
      </c>
      <c r="X118" s="214" t="str">
        <f t="shared" si="20"/>
        <v/>
      </c>
      <c r="Y118" s="215" t="str">
        <f t="shared" si="21"/>
        <v/>
      </c>
      <c r="Z118" s="216" t="str">
        <f t="shared" si="22"/>
        <v/>
      </c>
      <c r="AA118" s="217" t="str">
        <f t="shared" si="23"/>
        <v/>
      </c>
      <c r="AB118" s="218" t="str">
        <f t="shared" si="24"/>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xBmPii90XCWwbbmeOXBxnDly03YdZ05N01QeWMd7Jox1SVjw8yxeFRZ3TwjH8kxKgQWmwkoD3BO9n01dGur5Dg==" saltValue="YwFC4Tljj0J72ELtdeYiEA=="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T12:AA13"/>
    <mergeCell ref="B10:E14"/>
    <mergeCell ref="N10:P11"/>
    <mergeCell ref="Q10:X11"/>
    <mergeCell ref="Y10:Z11"/>
    <mergeCell ref="AA10:AD11"/>
  </mergeCells>
  <dataValidations count="30">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t Input" error="The score cannot be greather than the HPS." promptTitle="Score Entry" prompt="Enter learners' raw scores." sqref="U18:U67">
      <formula1>U18&lt;=$U$15</formula1>
    </dataValidation>
    <dataValidation type="custom" allowBlank="1" showInputMessage="1" showErrorMessage="1" errorTitle="Invalid Entry" error="The score cannot be greater than the HPS." promptTitle="Score Entry" prompt="Enter learners' raw scores." sqref="U69:U118">
      <formula1>U69&lt;=$U$15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sheetPr>
  <dimension ref="A1:AF120"/>
  <sheetViews>
    <sheetView showGridLines="0" workbookViewId="0">
      <pane ySplit="16" topLeftCell="A50" activePane="bottomLeft" state="frozen"/>
      <selection/>
      <selection pane="bottomLeft" activeCell="U53" sqref="U53"/>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21</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San Jose National High School</v>
      </c>
      <c r="G7" s="51"/>
      <c r="H7" s="51"/>
      <c r="I7" s="51"/>
      <c r="J7" s="51"/>
      <c r="K7" s="51"/>
      <c r="L7" s="51"/>
      <c r="M7" s="51"/>
      <c r="N7" s="51"/>
      <c r="O7" s="51"/>
      <c r="P7" s="51"/>
      <c r="Q7" s="51"/>
      <c r="R7" s="51"/>
      <c r="S7" s="51"/>
      <c r="T7" s="51"/>
      <c r="U7" s="51"/>
      <c r="V7" s="50"/>
      <c r="W7" s="46"/>
      <c r="X7" s="46"/>
      <c r="Y7" s="52" t="s">
        <v>11</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40</v>
      </c>
      <c r="E10" s="128"/>
      <c r="F10" s="129" t="s">
        <v>17</v>
      </c>
      <c r="G10" s="57"/>
      <c r="H10" s="57"/>
      <c r="I10" s="72"/>
      <c r="J10" s="130" t="str">
        <f>IF('INPUT DATA'!E25="","",'INPUT DATA'!E25)</f>
        <v/>
      </c>
      <c r="K10" s="131"/>
      <c r="L10" s="131"/>
      <c r="M10" s="132"/>
      <c r="N10" s="133" t="s">
        <v>23</v>
      </c>
      <c r="P10" s="128"/>
      <c r="Q10" s="130" t="str">
        <f>IF('INPUT DATA'!E23="","",'INPUT DATA'!E23)</f>
        <v/>
      </c>
      <c r="R10" s="98"/>
      <c r="S10" s="98"/>
      <c r="T10" s="98"/>
      <c r="U10" s="98"/>
      <c r="V10" s="98"/>
      <c r="W10" s="98"/>
      <c r="X10" s="134"/>
      <c r="Y10" s="135" t="s">
        <v>15</v>
      </c>
      <c r="AA10" s="130" t="str">
        <f>IF('INPUT DATA'!E24="","",'INPUT DATA'!E24)</f>
        <v>SPS</v>
      </c>
      <c r="AB10" s="98"/>
      <c r="AC10" s="98"/>
      <c r="AD10" s="134"/>
      <c r="AE10" s="46"/>
      <c r="AF10" s="123"/>
    </row>
    <row r="11" ht="14.4" customHeight="1" spans="1:32">
      <c r="A11" s="46"/>
      <c r="B11" s="136"/>
      <c r="E11" s="128"/>
      <c r="F11" s="58" t="s">
        <v>18</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24</v>
      </c>
      <c r="G12" s="64"/>
      <c r="H12" s="64"/>
      <c r="I12" s="64"/>
      <c r="J12" s="64"/>
      <c r="K12" s="64"/>
      <c r="L12" s="64"/>
      <c r="M12" s="139"/>
      <c r="N12" s="140" t="s">
        <v>25</v>
      </c>
      <c r="O12" s="64"/>
      <c r="P12" s="64"/>
      <c r="Q12" s="64"/>
      <c r="R12" s="64"/>
      <c r="S12" s="139"/>
      <c r="T12" s="140" t="s">
        <v>26</v>
      </c>
      <c r="U12" s="64"/>
      <c r="V12" s="64"/>
      <c r="W12" s="64"/>
      <c r="X12" s="64"/>
      <c r="Y12" s="64"/>
      <c r="Z12" s="64"/>
      <c r="AA12" s="139"/>
      <c r="AB12" s="140" t="s">
        <v>27</v>
      </c>
      <c r="AC12" s="140" t="s">
        <v>28</v>
      </c>
      <c r="AD12" s="140" t="s">
        <v>29</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30</v>
      </c>
      <c r="L14" s="145" t="s">
        <v>31</v>
      </c>
      <c r="M14" s="145" t="s">
        <v>32</v>
      </c>
      <c r="N14" s="142">
        <v>1</v>
      </c>
      <c r="O14" s="143">
        <v>2</v>
      </c>
      <c r="P14" s="144">
        <v>3</v>
      </c>
      <c r="Q14" s="145" t="s">
        <v>30</v>
      </c>
      <c r="R14" s="145" t="s">
        <v>31</v>
      </c>
      <c r="S14" s="145" t="s">
        <v>32</v>
      </c>
      <c r="T14" s="142" t="s">
        <v>33</v>
      </c>
      <c r="U14" s="143" t="s">
        <v>34</v>
      </c>
      <c r="V14" s="144" t="s">
        <v>35</v>
      </c>
      <c r="W14" s="146" t="s">
        <v>36</v>
      </c>
      <c r="X14" s="147" t="s">
        <v>37</v>
      </c>
      <c r="Y14" s="148" t="s">
        <v>38</v>
      </c>
      <c r="Z14" s="145" t="s">
        <v>31</v>
      </c>
      <c r="AA14" s="145" t="s">
        <v>32</v>
      </c>
      <c r="AB14" s="141"/>
      <c r="AC14" s="141"/>
      <c r="AD14" s="141"/>
      <c r="AE14" s="46"/>
      <c r="AF14" s="123"/>
    </row>
    <row r="15" ht="14.4" customHeight="1" spans="1:32">
      <c r="A15" s="46"/>
      <c r="B15" s="149" t="s">
        <v>39</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67" si="1">IF(COUNT(F18:J18)=0,"",IFERROR(K18/$K$15*$L$15,""))</f>
        <v/>
      </c>
      <c r="M18" s="170" t="str">
        <f t="shared" ref="M18:M67" si="2">IF(L18="","",L18*$M$15)</f>
        <v/>
      </c>
      <c r="N18" s="165"/>
      <c r="O18" s="166"/>
      <c r="P18" s="167"/>
      <c r="Q18" s="171" t="str">
        <f t="shared" ref="Q18:Q67" si="3">IF(COUNT(N18:P18)=0,"",SUM(N18:P18))</f>
        <v/>
      </c>
      <c r="R18" s="169" t="str">
        <f t="shared" ref="R18:R67" si="4">IF(COUNT(N18:P18)=0,"",IFERROR(Q18/$Q$15*$R$15,""))</f>
        <v/>
      </c>
      <c r="S18" s="170" t="str">
        <f t="shared" ref="S18:S67" si="5">IF(R18="","",R18*$S$15)</f>
        <v/>
      </c>
      <c r="T18" s="165"/>
      <c r="U18" s="166"/>
      <c r="V18" s="167"/>
      <c r="W18" s="172" t="str">
        <f t="shared" ref="W18:W67" si="6">IF(T18="","",IFERROR(T18/$T$15*$W$15,""))</f>
        <v/>
      </c>
      <c r="X18" s="173" t="str">
        <f t="shared" ref="X18:X67" si="7">IF(U18="","",IFERROR(U18/$U$15*$X$15,""))</f>
        <v/>
      </c>
      <c r="Y18" s="174" t="str">
        <f t="shared" ref="Y18:Y67" si="8">IF(V18="","",IFERROR(V18/$V$15*$Y$15,""))</f>
        <v/>
      </c>
      <c r="Z18" s="175" t="str">
        <f t="shared" ref="Z18:Z67" si="9">IF(COUNT(T18:V18)=0,"",SUM(W18:Y18))</f>
        <v/>
      </c>
      <c r="AA18" s="176" t="str">
        <f t="shared" ref="AA18:AA67" si="10">IF(Z18="","",Z18*$AA$15)</f>
        <v/>
      </c>
      <c r="AB18" s="177" t="str">
        <f t="shared" ref="AB18:AB67"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si="1"/>
        <v/>
      </c>
      <c r="M50" s="184" t="str">
        <f t="shared" si="2"/>
        <v/>
      </c>
      <c r="N50" s="180"/>
      <c r="O50" s="181"/>
      <c r="P50" s="182"/>
      <c r="Q50" s="168" t="str">
        <f t="shared" si="3"/>
        <v/>
      </c>
      <c r="R50" s="183" t="str">
        <f t="shared" si="4"/>
        <v/>
      </c>
      <c r="S50" s="184" t="str">
        <f t="shared" si="5"/>
        <v/>
      </c>
      <c r="T50" s="180"/>
      <c r="U50" s="181"/>
      <c r="V50" s="182"/>
      <c r="W50" s="168" t="str">
        <f t="shared" si="6"/>
        <v/>
      </c>
      <c r="X50" s="183" t="str">
        <f t="shared" si="7"/>
        <v/>
      </c>
      <c r="Y50" s="184" t="str">
        <f t="shared" si="8"/>
        <v/>
      </c>
      <c r="Z50" s="185" t="str">
        <f t="shared" si="9"/>
        <v/>
      </c>
      <c r="AA50" s="186" t="str">
        <f t="shared" si="10"/>
        <v/>
      </c>
      <c r="AB50" s="187" t="str">
        <f t="shared" si="11"/>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
        <v/>
      </c>
      <c r="M51" s="184" t="str">
        <f t="shared" si="2"/>
        <v/>
      </c>
      <c r="N51" s="180"/>
      <c r="O51" s="181"/>
      <c r="P51" s="182"/>
      <c r="Q51" s="168" t="str">
        <f t="shared" si="3"/>
        <v/>
      </c>
      <c r="R51" s="183" t="str">
        <f t="shared" si="4"/>
        <v/>
      </c>
      <c r="S51" s="184" t="str">
        <f t="shared" si="5"/>
        <v/>
      </c>
      <c r="T51" s="180"/>
      <c r="U51" s="181"/>
      <c r="V51" s="182"/>
      <c r="W51" s="168" t="str">
        <f t="shared" si="6"/>
        <v/>
      </c>
      <c r="X51" s="183" t="str">
        <f t="shared" si="7"/>
        <v/>
      </c>
      <c r="Y51" s="184" t="str">
        <f t="shared" si="8"/>
        <v/>
      </c>
      <c r="Z51" s="185" t="str">
        <f t="shared" si="9"/>
        <v/>
      </c>
      <c r="AA51" s="186" t="str">
        <f t="shared" si="10"/>
        <v/>
      </c>
      <c r="AB51" s="187" t="str">
        <f t="shared" si="11"/>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
        <v/>
      </c>
      <c r="M52" s="184" t="str">
        <f t="shared" si="2"/>
        <v/>
      </c>
      <c r="N52" s="180"/>
      <c r="O52" s="181"/>
      <c r="P52" s="182"/>
      <c r="Q52" s="168" t="str">
        <f t="shared" si="3"/>
        <v/>
      </c>
      <c r="R52" s="183" t="str">
        <f t="shared" si="4"/>
        <v/>
      </c>
      <c r="S52" s="184" t="str">
        <f t="shared" si="5"/>
        <v/>
      </c>
      <c r="T52" s="180"/>
      <c r="U52" s="181"/>
      <c r="V52" s="182"/>
      <c r="W52" s="168" t="str">
        <f t="shared" si="6"/>
        <v/>
      </c>
      <c r="X52" s="183" t="str">
        <f t="shared" si="7"/>
        <v/>
      </c>
      <c r="Y52" s="184" t="str">
        <f t="shared" si="8"/>
        <v/>
      </c>
      <c r="Z52" s="185" t="str">
        <f t="shared" si="9"/>
        <v/>
      </c>
      <c r="AA52" s="186" t="str">
        <f t="shared" si="10"/>
        <v/>
      </c>
      <c r="AB52" s="187" t="str">
        <f t="shared" si="11"/>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
        <v/>
      </c>
      <c r="M53" s="184" t="str">
        <f t="shared" si="2"/>
        <v/>
      </c>
      <c r="N53" s="180"/>
      <c r="O53" s="181"/>
      <c r="P53" s="182"/>
      <c r="Q53" s="168" t="str">
        <f t="shared" si="3"/>
        <v/>
      </c>
      <c r="R53" s="183" t="str">
        <f t="shared" si="4"/>
        <v/>
      </c>
      <c r="S53" s="184" t="str">
        <f t="shared" si="5"/>
        <v/>
      </c>
      <c r="T53" s="180"/>
      <c r="U53" s="181"/>
      <c r="V53" s="182"/>
      <c r="W53" s="168" t="str">
        <f t="shared" si="6"/>
        <v/>
      </c>
      <c r="X53" s="183" t="str">
        <f t="shared" si="7"/>
        <v/>
      </c>
      <c r="Y53" s="184" t="str">
        <f t="shared" si="8"/>
        <v/>
      </c>
      <c r="Z53" s="185" t="str">
        <f t="shared" si="9"/>
        <v/>
      </c>
      <c r="AA53" s="186" t="str">
        <f t="shared" si="10"/>
        <v/>
      </c>
      <c r="AB53" s="187" t="str">
        <f t="shared" si="11"/>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
        <v/>
      </c>
      <c r="M54" s="184" t="str">
        <f t="shared" si="2"/>
        <v/>
      </c>
      <c r="N54" s="180"/>
      <c r="O54" s="181"/>
      <c r="P54" s="182"/>
      <c r="Q54" s="168" t="str">
        <f t="shared" si="3"/>
        <v/>
      </c>
      <c r="R54" s="183" t="str">
        <f t="shared" si="4"/>
        <v/>
      </c>
      <c r="S54" s="184" t="str">
        <f t="shared" si="5"/>
        <v/>
      </c>
      <c r="T54" s="180"/>
      <c r="U54" s="181"/>
      <c r="V54" s="182"/>
      <c r="W54" s="168" t="str">
        <f t="shared" si="6"/>
        <v/>
      </c>
      <c r="X54" s="183" t="str">
        <f t="shared" si="7"/>
        <v/>
      </c>
      <c r="Y54" s="184" t="str">
        <f t="shared" si="8"/>
        <v/>
      </c>
      <c r="Z54" s="185" t="str">
        <f t="shared" si="9"/>
        <v/>
      </c>
      <c r="AA54" s="186" t="str">
        <f t="shared" si="10"/>
        <v/>
      </c>
      <c r="AB54" s="187" t="str">
        <f t="shared" si="11"/>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
        <v/>
      </c>
      <c r="M55" s="184" t="str">
        <f t="shared" si="2"/>
        <v/>
      </c>
      <c r="N55" s="180"/>
      <c r="O55" s="181"/>
      <c r="P55" s="182"/>
      <c r="Q55" s="168" t="str">
        <f t="shared" si="3"/>
        <v/>
      </c>
      <c r="R55" s="183" t="str">
        <f t="shared" si="4"/>
        <v/>
      </c>
      <c r="S55" s="184" t="str">
        <f t="shared" si="5"/>
        <v/>
      </c>
      <c r="T55" s="180"/>
      <c r="U55" s="181"/>
      <c r="V55" s="182"/>
      <c r="W55" s="168" t="str">
        <f t="shared" si="6"/>
        <v/>
      </c>
      <c r="X55" s="183" t="str">
        <f t="shared" si="7"/>
        <v/>
      </c>
      <c r="Y55" s="184" t="str">
        <f t="shared" si="8"/>
        <v/>
      </c>
      <c r="Z55" s="185" t="str">
        <f t="shared" si="9"/>
        <v/>
      </c>
      <c r="AA55" s="186" t="str">
        <f t="shared" si="10"/>
        <v/>
      </c>
      <c r="AB55" s="187" t="str">
        <f t="shared" si="11"/>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
        <v/>
      </c>
      <c r="M56" s="184" t="str">
        <f t="shared" si="2"/>
        <v/>
      </c>
      <c r="N56" s="180"/>
      <c r="O56" s="181"/>
      <c r="P56" s="182"/>
      <c r="Q56" s="168" t="str">
        <f t="shared" si="3"/>
        <v/>
      </c>
      <c r="R56" s="183" t="str">
        <f t="shared" si="4"/>
        <v/>
      </c>
      <c r="S56" s="184" t="str">
        <f t="shared" si="5"/>
        <v/>
      </c>
      <c r="T56" s="180"/>
      <c r="U56" s="181"/>
      <c r="V56" s="182"/>
      <c r="W56" s="168" t="str">
        <f t="shared" si="6"/>
        <v/>
      </c>
      <c r="X56" s="183" t="str">
        <f t="shared" si="7"/>
        <v/>
      </c>
      <c r="Y56" s="184" t="str">
        <f t="shared" si="8"/>
        <v/>
      </c>
      <c r="Z56" s="185" t="str">
        <f t="shared" si="9"/>
        <v/>
      </c>
      <c r="AA56" s="186" t="str">
        <f t="shared" si="10"/>
        <v/>
      </c>
      <c r="AB56" s="187" t="str">
        <f t="shared" si="11"/>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
        <v/>
      </c>
      <c r="M57" s="184" t="str">
        <f t="shared" si="2"/>
        <v/>
      </c>
      <c r="N57" s="180"/>
      <c r="O57" s="181"/>
      <c r="P57" s="182"/>
      <c r="Q57" s="168" t="str">
        <f t="shared" si="3"/>
        <v/>
      </c>
      <c r="R57" s="183" t="str">
        <f t="shared" si="4"/>
        <v/>
      </c>
      <c r="S57" s="184" t="str">
        <f t="shared" si="5"/>
        <v/>
      </c>
      <c r="T57" s="180"/>
      <c r="U57" s="181"/>
      <c r="V57" s="182"/>
      <c r="W57" s="168" t="str">
        <f t="shared" si="6"/>
        <v/>
      </c>
      <c r="X57" s="183" t="str">
        <f t="shared" si="7"/>
        <v/>
      </c>
      <c r="Y57" s="184" t="str">
        <f t="shared" si="8"/>
        <v/>
      </c>
      <c r="Z57" s="185" t="str">
        <f t="shared" si="9"/>
        <v/>
      </c>
      <c r="AA57" s="186" t="str">
        <f t="shared" si="10"/>
        <v/>
      </c>
      <c r="AB57" s="187" t="str">
        <f t="shared" si="11"/>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
        <v/>
      </c>
      <c r="M58" s="184" t="str">
        <f t="shared" si="2"/>
        <v/>
      </c>
      <c r="N58" s="180"/>
      <c r="O58" s="181"/>
      <c r="P58" s="182"/>
      <c r="Q58" s="168" t="str">
        <f t="shared" si="3"/>
        <v/>
      </c>
      <c r="R58" s="183" t="str">
        <f t="shared" si="4"/>
        <v/>
      </c>
      <c r="S58" s="184" t="str">
        <f t="shared" si="5"/>
        <v/>
      </c>
      <c r="T58" s="180"/>
      <c r="U58" s="181"/>
      <c r="V58" s="182"/>
      <c r="W58" s="168" t="str">
        <f t="shared" si="6"/>
        <v/>
      </c>
      <c r="X58" s="183" t="str">
        <f t="shared" si="7"/>
        <v/>
      </c>
      <c r="Y58" s="184" t="str">
        <f t="shared" si="8"/>
        <v/>
      </c>
      <c r="Z58" s="185" t="str">
        <f t="shared" si="9"/>
        <v/>
      </c>
      <c r="AA58" s="186" t="str">
        <f t="shared" si="10"/>
        <v/>
      </c>
      <c r="AB58" s="187" t="str">
        <f t="shared" si="11"/>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
        <v/>
      </c>
      <c r="M59" s="184" t="str">
        <f t="shared" si="2"/>
        <v/>
      </c>
      <c r="N59" s="180"/>
      <c r="O59" s="181"/>
      <c r="P59" s="182"/>
      <c r="Q59" s="168" t="str">
        <f t="shared" si="3"/>
        <v/>
      </c>
      <c r="R59" s="183" t="str">
        <f t="shared" si="4"/>
        <v/>
      </c>
      <c r="S59" s="184" t="str">
        <f t="shared" si="5"/>
        <v/>
      </c>
      <c r="T59" s="180"/>
      <c r="U59" s="181"/>
      <c r="V59" s="182"/>
      <c r="W59" s="168" t="str">
        <f t="shared" si="6"/>
        <v/>
      </c>
      <c r="X59" s="183" t="str">
        <f t="shared" si="7"/>
        <v/>
      </c>
      <c r="Y59" s="184" t="str">
        <f t="shared" si="8"/>
        <v/>
      </c>
      <c r="Z59" s="185" t="str">
        <f t="shared" si="9"/>
        <v/>
      </c>
      <c r="AA59" s="186" t="str">
        <f t="shared" si="10"/>
        <v/>
      </c>
      <c r="AB59" s="187" t="str">
        <f t="shared" si="11"/>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
        <v/>
      </c>
      <c r="M60" s="184" t="str">
        <f t="shared" si="2"/>
        <v/>
      </c>
      <c r="N60" s="180"/>
      <c r="O60" s="181"/>
      <c r="P60" s="182"/>
      <c r="Q60" s="168" t="str">
        <f t="shared" si="3"/>
        <v/>
      </c>
      <c r="R60" s="183" t="str">
        <f t="shared" si="4"/>
        <v/>
      </c>
      <c r="S60" s="184" t="str">
        <f t="shared" si="5"/>
        <v/>
      </c>
      <c r="T60" s="180"/>
      <c r="U60" s="181"/>
      <c r="V60" s="182"/>
      <c r="W60" s="168" t="str">
        <f t="shared" si="6"/>
        <v/>
      </c>
      <c r="X60" s="183" t="str">
        <f t="shared" si="7"/>
        <v/>
      </c>
      <c r="Y60" s="184" t="str">
        <f t="shared" si="8"/>
        <v/>
      </c>
      <c r="Z60" s="185" t="str">
        <f t="shared" si="9"/>
        <v/>
      </c>
      <c r="AA60" s="186" t="str">
        <f t="shared" si="10"/>
        <v/>
      </c>
      <c r="AB60" s="187" t="str">
        <f t="shared" si="11"/>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
        <v/>
      </c>
      <c r="M61" s="184" t="str">
        <f t="shared" si="2"/>
        <v/>
      </c>
      <c r="N61" s="180"/>
      <c r="O61" s="181"/>
      <c r="P61" s="182"/>
      <c r="Q61" s="168" t="str">
        <f t="shared" si="3"/>
        <v/>
      </c>
      <c r="R61" s="183" t="str">
        <f t="shared" si="4"/>
        <v/>
      </c>
      <c r="S61" s="184" t="str">
        <f t="shared" si="5"/>
        <v/>
      </c>
      <c r="T61" s="180"/>
      <c r="U61" s="181"/>
      <c r="V61" s="182"/>
      <c r="W61" s="168" t="str">
        <f t="shared" si="6"/>
        <v/>
      </c>
      <c r="X61" s="183" t="str">
        <f t="shared" si="7"/>
        <v/>
      </c>
      <c r="Y61" s="184" t="str">
        <f t="shared" si="8"/>
        <v/>
      </c>
      <c r="Z61" s="185" t="str">
        <f t="shared" si="9"/>
        <v/>
      </c>
      <c r="AA61" s="186" t="str">
        <f t="shared" si="10"/>
        <v/>
      </c>
      <c r="AB61" s="187" t="str">
        <f t="shared" si="11"/>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
        <v/>
      </c>
      <c r="M62" s="184" t="str">
        <f t="shared" si="2"/>
        <v/>
      </c>
      <c r="N62" s="180"/>
      <c r="O62" s="181"/>
      <c r="P62" s="182"/>
      <c r="Q62" s="168" t="str">
        <f t="shared" si="3"/>
        <v/>
      </c>
      <c r="R62" s="183" t="str">
        <f t="shared" si="4"/>
        <v/>
      </c>
      <c r="S62" s="184" t="str">
        <f t="shared" si="5"/>
        <v/>
      </c>
      <c r="T62" s="180"/>
      <c r="U62" s="181"/>
      <c r="V62" s="182"/>
      <c r="W62" s="168" t="str">
        <f t="shared" si="6"/>
        <v/>
      </c>
      <c r="X62" s="183" t="str">
        <f t="shared" si="7"/>
        <v/>
      </c>
      <c r="Y62" s="184" t="str">
        <f t="shared" si="8"/>
        <v/>
      </c>
      <c r="Z62" s="185" t="str">
        <f t="shared" si="9"/>
        <v/>
      </c>
      <c r="AA62" s="186" t="str">
        <f t="shared" si="10"/>
        <v/>
      </c>
      <c r="AB62" s="187" t="str">
        <f t="shared" si="11"/>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
        <v/>
      </c>
      <c r="M63" s="184" t="str">
        <f t="shared" si="2"/>
        <v/>
      </c>
      <c r="N63" s="180"/>
      <c r="O63" s="181"/>
      <c r="P63" s="182"/>
      <c r="Q63" s="168" t="str">
        <f t="shared" si="3"/>
        <v/>
      </c>
      <c r="R63" s="183" t="str">
        <f t="shared" si="4"/>
        <v/>
      </c>
      <c r="S63" s="184" t="str">
        <f t="shared" si="5"/>
        <v/>
      </c>
      <c r="T63" s="180"/>
      <c r="U63" s="181"/>
      <c r="V63" s="182"/>
      <c r="W63" s="168" t="str">
        <f t="shared" si="6"/>
        <v/>
      </c>
      <c r="X63" s="183" t="str">
        <f t="shared" si="7"/>
        <v/>
      </c>
      <c r="Y63" s="184" t="str">
        <f t="shared" si="8"/>
        <v/>
      </c>
      <c r="Z63" s="185" t="str">
        <f t="shared" si="9"/>
        <v/>
      </c>
      <c r="AA63" s="186" t="str">
        <f t="shared" si="10"/>
        <v/>
      </c>
      <c r="AB63" s="187" t="str">
        <f t="shared" si="11"/>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
        <v/>
      </c>
      <c r="M64" s="184" t="str">
        <f t="shared" si="2"/>
        <v/>
      </c>
      <c r="N64" s="180"/>
      <c r="O64" s="181"/>
      <c r="P64" s="182"/>
      <c r="Q64" s="168" t="str">
        <f t="shared" si="3"/>
        <v/>
      </c>
      <c r="R64" s="183" t="str">
        <f t="shared" si="4"/>
        <v/>
      </c>
      <c r="S64" s="184" t="str">
        <f t="shared" si="5"/>
        <v/>
      </c>
      <c r="T64" s="180"/>
      <c r="U64" s="181"/>
      <c r="V64" s="182"/>
      <c r="W64" s="168" t="str">
        <f t="shared" si="6"/>
        <v/>
      </c>
      <c r="X64" s="183" t="str">
        <f t="shared" si="7"/>
        <v/>
      </c>
      <c r="Y64" s="184" t="str">
        <f t="shared" si="8"/>
        <v/>
      </c>
      <c r="Z64" s="185" t="str">
        <f t="shared" si="9"/>
        <v/>
      </c>
      <c r="AA64" s="186" t="str">
        <f t="shared" si="10"/>
        <v/>
      </c>
      <c r="AB64" s="187" t="str">
        <f t="shared" si="11"/>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
        <v/>
      </c>
      <c r="M65" s="184" t="str">
        <f t="shared" si="2"/>
        <v/>
      </c>
      <c r="N65" s="180"/>
      <c r="O65" s="181"/>
      <c r="P65" s="182"/>
      <c r="Q65" s="168" t="str">
        <f t="shared" si="3"/>
        <v/>
      </c>
      <c r="R65" s="183" t="str">
        <f t="shared" si="4"/>
        <v/>
      </c>
      <c r="S65" s="184" t="str">
        <f t="shared" si="5"/>
        <v/>
      </c>
      <c r="T65" s="180"/>
      <c r="U65" s="181"/>
      <c r="V65" s="182"/>
      <c r="W65" s="168" t="str">
        <f t="shared" si="6"/>
        <v/>
      </c>
      <c r="X65" s="183" t="str">
        <f t="shared" si="7"/>
        <v/>
      </c>
      <c r="Y65" s="184" t="str">
        <f t="shared" si="8"/>
        <v/>
      </c>
      <c r="Z65" s="185" t="str">
        <f t="shared" si="9"/>
        <v/>
      </c>
      <c r="AA65" s="186" t="str">
        <f t="shared" si="10"/>
        <v/>
      </c>
      <c r="AB65" s="187" t="str">
        <f t="shared" si="11"/>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
        <v/>
      </c>
      <c r="M66" s="184" t="str">
        <f t="shared" si="2"/>
        <v/>
      </c>
      <c r="N66" s="180"/>
      <c r="O66" s="181"/>
      <c r="P66" s="182"/>
      <c r="Q66" s="168" t="str">
        <f t="shared" si="3"/>
        <v/>
      </c>
      <c r="R66" s="183" t="str">
        <f t="shared" si="4"/>
        <v/>
      </c>
      <c r="S66" s="184" t="str">
        <f t="shared" si="5"/>
        <v/>
      </c>
      <c r="T66" s="180"/>
      <c r="U66" s="181"/>
      <c r="V66" s="182"/>
      <c r="W66" s="168" t="str">
        <f t="shared" si="6"/>
        <v/>
      </c>
      <c r="X66" s="183" t="str">
        <f t="shared" si="7"/>
        <v/>
      </c>
      <c r="Y66" s="184" t="str">
        <f t="shared" si="8"/>
        <v/>
      </c>
      <c r="Z66" s="185" t="str">
        <f t="shared" si="9"/>
        <v/>
      </c>
      <c r="AA66" s="186" t="str">
        <f t="shared" si="10"/>
        <v/>
      </c>
      <c r="AB66" s="187" t="str">
        <f t="shared" si="11"/>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
        <v/>
      </c>
      <c r="M67" s="184" t="str">
        <f t="shared" si="2"/>
        <v/>
      </c>
      <c r="N67" s="190"/>
      <c r="O67" s="191"/>
      <c r="P67" s="192"/>
      <c r="Q67" s="168" t="str">
        <f t="shared" si="3"/>
        <v/>
      </c>
      <c r="R67" s="183" t="str">
        <f t="shared" si="4"/>
        <v/>
      </c>
      <c r="S67" s="184" t="str">
        <f t="shared" si="5"/>
        <v/>
      </c>
      <c r="T67" s="190"/>
      <c r="U67" s="191"/>
      <c r="V67" s="192"/>
      <c r="W67" s="168" t="str">
        <f t="shared" si="6"/>
        <v/>
      </c>
      <c r="X67" s="183" t="str">
        <f t="shared" si="7"/>
        <v/>
      </c>
      <c r="Y67" s="184" t="str">
        <f t="shared" si="8"/>
        <v/>
      </c>
      <c r="Z67" s="185" t="str">
        <f t="shared" si="9"/>
        <v/>
      </c>
      <c r="AA67" s="186" t="str">
        <f t="shared" si="10"/>
        <v/>
      </c>
      <c r="AB67" s="187" t="str">
        <f t="shared" si="11"/>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18" si="13">IF(COUNT($F69:$J69)=0,"",SUM($F69:$J69))</f>
        <v/>
      </c>
      <c r="L69" s="198" t="str">
        <f t="shared" ref="L69:L118" si="14">IF(COUNT(F69:J69)=0,"",IFERROR(K69/$K$15*$L$15,""))</f>
        <v/>
      </c>
      <c r="M69" s="199" t="str">
        <f t="shared" ref="M69:M118" si="15">IF(L69="","",L69*$M$15)</f>
        <v/>
      </c>
      <c r="N69" s="165"/>
      <c r="O69" s="166"/>
      <c r="P69" s="167"/>
      <c r="Q69" s="197" t="str">
        <f t="shared" ref="Q69:Q118" si="16">IF(COUNT(N69:P69)=0,"",SUM(N69:P69))</f>
        <v/>
      </c>
      <c r="R69" s="198" t="str">
        <f t="shared" ref="R69:R118" si="17">IF(COUNT(N69:P69)=0,"",IFERROR(Q69/$Q$15*$R$15,""))</f>
        <v/>
      </c>
      <c r="S69" s="199" t="str">
        <f t="shared" ref="S69:S118" si="18">IF(R69="","",R69*$S$15)</f>
        <v/>
      </c>
      <c r="T69" s="165"/>
      <c r="U69" s="166"/>
      <c r="V69" s="167"/>
      <c r="W69" s="197" t="str">
        <f t="shared" ref="W69:W118" si="19">IF(T69="","",IFERROR(T69/$T$15*$W$15,""))</f>
        <v/>
      </c>
      <c r="X69" s="198" t="str">
        <f t="shared" ref="X69:X118" si="20">IF(U69="","",IFERROR(U69/$U$15*$X$15,""))</f>
        <v/>
      </c>
      <c r="Y69" s="199" t="str">
        <f t="shared" ref="Y69:Y118" si="21">IF(V69="","",IFERROR(V69/$V$15*$Y$15,""))</f>
        <v/>
      </c>
      <c r="Z69" s="200" t="str">
        <f t="shared" ref="Z69:Z118" si="22">IF(COUNT(T69:V69)=0,"",SUM(W69:Y69))</f>
        <v/>
      </c>
      <c r="AA69" s="201" t="str">
        <f t="shared" ref="AA69:AA118" si="23">IF(Z69="","",Z69*$AA$15)</f>
        <v/>
      </c>
      <c r="AB69" s="202" t="str">
        <f t="shared" ref="AB69:AB118" si="24">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13"/>
        <v/>
      </c>
      <c r="L70" s="183" t="str">
        <f t="shared" si="14"/>
        <v/>
      </c>
      <c r="M70" s="184" t="str">
        <f t="shared" si="15"/>
        <v/>
      </c>
      <c r="N70" s="180"/>
      <c r="O70" s="181"/>
      <c r="P70" s="182"/>
      <c r="Q70" s="168" t="str">
        <f t="shared" si="16"/>
        <v/>
      </c>
      <c r="R70" s="183" t="str">
        <f t="shared" si="17"/>
        <v/>
      </c>
      <c r="S70" s="184" t="str">
        <f t="shared" si="18"/>
        <v/>
      </c>
      <c r="T70" s="180"/>
      <c r="U70" s="181"/>
      <c r="V70" s="182"/>
      <c r="W70" s="168" t="str">
        <f t="shared" si="19"/>
        <v/>
      </c>
      <c r="X70" s="183" t="str">
        <f t="shared" si="20"/>
        <v/>
      </c>
      <c r="Y70" s="184" t="str">
        <f t="shared" si="21"/>
        <v/>
      </c>
      <c r="Z70" s="185" t="str">
        <f t="shared" si="22"/>
        <v/>
      </c>
      <c r="AA70" s="186" t="str">
        <f t="shared" si="23"/>
        <v/>
      </c>
      <c r="AB70" s="187" t="str">
        <f t="shared" si="24"/>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13"/>
        <v/>
      </c>
      <c r="L71" s="183" t="str">
        <f t="shared" si="14"/>
        <v/>
      </c>
      <c r="M71" s="184" t="str">
        <f t="shared" si="15"/>
        <v/>
      </c>
      <c r="N71" s="180"/>
      <c r="O71" s="181"/>
      <c r="P71" s="182"/>
      <c r="Q71" s="168" t="str">
        <f t="shared" si="16"/>
        <v/>
      </c>
      <c r="R71" s="183" t="str">
        <f t="shared" si="17"/>
        <v/>
      </c>
      <c r="S71" s="184" t="str">
        <f t="shared" si="18"/>
        <v/>
      </c>
      <c r="T71" s="180"/>
      <c r="U71" s="181"/>
      <c r="V71" s="182"/>
      <c r="W71" s="168" t="str">
        <f t="shared" si="19"/>
        <v/>
      </c>
      <c r="X71" s="183" t="str">
        <f t="shared" si="20"/>
        <v/>
      </c>
      <c r="Y71" s="184" t="str">
        <f t="shared" si="21"/>
        <v/>
      </c>
      <c r="Z71" s="185" t="str">
        <f t="shared" si="22"/>
        <v/>
      </c>
      <c r="AA71" s="186" t="str">
        <f t="shared" si="23"/>
        <v/>
      </c>
      <c r="AB71" s="187" t="str">
        <f t="shared" si="24"/>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13"/>
        <v/>
      </c>
      <c r="L72" s="183" t="str">
        <f t="shared" si="14"/>
        <v/>
      </c>
      <c r="M72" s="184" t="str">
        <f t="shared" si="15"/>
        <v/>
      </c>
      <c r="N72" s="180"/>
      <c r="O72" s="181"/>
      <c r="P72" s="182"/>
      <c r="Q72" s="168" t="str">
        <f t="shared" si="16"/>
        <v/>
      </c>
      <c r="R72" s="183" t="str">
        <f t="shared" si="17"/>
        <v/>
      </c>
      <c r="S72" s="184" t="str">
        <f t="shared" si="18"/>
        <v/>
      </c>
      <c r="T72" s="180"/>
      <c r="U72" s="181"/>
      <c r="V72" s="182"/>
      <c r="W72" s="168" t="str">
        <f t="shared" si="19"/>
        <v/>
      </c>
      <c r="X72" s="183" t="str">
        <f t="shared" si="20"/>
        <v/>
      </c>
      <c r="Y72" s="184" t="str">
        <f t="shared" si="21"/>
        <v/>
      </c>
      <c r="Z72" s="185" t="str">
        <f t="shared" si="22"/>
        <v/>
      </c>
      <c r="AA72" s="186" t="str">
        <f t="shared" si="23"/>
        <v/>
      </c>
      <c r="AB72" s="187" t="str">
        <f t="shared" si="24"/>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13"/>
        <v/>
      </c>
      <c r="L73" s="183" t="str">
        <f t="shared" si="14"/>
        <v/>
      </c>
      <c r="M73" s="184" t="str">
        <f t="shared" si="15"/>
        <v/>
      </c>
      <c r="N73" s="180"/>
      <c r="O73" s="181"/>
      <c r="P73" s="182"/>
      <c r="Q73" s="168" t="str">
        <f t="shared" si="16"/>
        <v/>
      </c>
      <c r="R73" s="183" t="str">
        <f t="shared" si="17"/>
        <v/>
      </c>
      <c r="S73" s="184" t="str">
        <f t="shared" si="18"/>
        <v/>
      </c>
      <c r="T73" s="180"/>
      <c r="U73" s="181"/>
      <c r="V73" s="182"/>
      <c r="W73" s="168" t="str">
        <f t="shared" si="19"/>
        <v/>
      </c>
      <c r="X73" s="183" t="str">
        <f t="shared" si="20"/>
        <v/>
      </c>
      <c r="Y73" s="184" t="str">
        <f t="shared" si="21"/>
        <v/>
      </c>
      <c r="Z73" s="185" t="str">
        <f t="shared" si="22"/>
        <v/>
      </c>
      <c r="AA73" s="186" t="str">
        <f t="shared" si="23"/>
        <v/>
      </c>
      <c r="AB73" s="187" t="str">
        <f t="shared" si="24"/>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13"/>
        <v/>
      </c>
      <c r="L74" s="183" t="str">
        <f t="shared" si="14"/>
        <v/>
      </c>
      <c r="M74" s="184" t="str">
        <f t="shared" si="15"/>
        <v/>
      </c>
      <c r="N74" s="180"/>
      <c r="O74" s="181"/>
      <c r="P74" s="182"/>
      <c r="Q74" s="168" t="str">
        <f t="shared" si="16"/>
        <v/>
      </c>
      <c r="R74" s="183" t="str">
        <f t="shared" si="17"/>
        <v/>
      </c>
      <c r="S74" s="184" t="str">
        <f t="shared" si="18"/>
        <v/>
      </c>
      <c r="T74" s="180"/>
      <c r="U74" s="181"/>
      <c r="V74" s="182"/>
      <c r="W74" s="168" t="str">
        <f t="shared" si="19"/>
        <v/>
      </c>
      <c r="X74" s="183" t="str">
        <f t="shared" si="20"/>
        <v/>
      </c>
      <c r="Y74" s="184" t="str">
        <f t="shared" si="21"/>
        <v/>
      </c>
      <c r="Z74" s="185" t="str">
        <f t="shared" si="22"/>
        <v/>
      </c>
      <c r="AA74" s="186" t="str">
        <f t="shared" si="23"/>
        <v/>
      </c>
      <c r="AB74" s="187" t="str">
        <f t="shared" si="24"/>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13"/>
        <v/>
      </c>
      <c r="L75" s="183" t="str">
        <f t="shared" si="14"/>
        <v/>
      </c>
      <c r="M75" s="184" t="str">
        <f t="shared" si="15"/>
        <v/>
      </c>
      <c r="N75" s="180"/>
      <c r="O75" s="181"/>
      <c r="P75" s="182"/>
      <c r="Q75" s="168" t="str">
        <f t="shared" si="16"/>
        <v/>
      </c>
      <c r="R75" s="183" t="str">
        <f t="shared" si="17"/>
        <v/>
      </c>
      <c r="S75" s="184" t="str">
        <f t="shared" si="18"/>
        <v/>
      </c>
      <c r="T75" s="180"/>
      <c r="U75" s="181"/>
      <c r="V75" s="182"/>
      <c r="W75" s="168" t="str">
        <f t="shared" si="19"/>
        <v/>
      </c>
      <c r="X75" s="183" t="str">
        <f t="shared" si="20"/>
        <v/>
      </c>
      <c r="Y75" s="184" t="str">
        <f t="shared" si="21"/>
        <v/>
      </c>
      <c r="Z75" s="185" t="str">
        <f t="shared" si="22"/>
        <v/>
      </c>
      <c r="AA75" s="186" t="str">
        <f t="shared" si="23"/>
        <v/>
      </c>
      <c r="AB75" s="187" t="str">
        <f t="shared" si="24"/>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13"/>
        <v/>
      </c>
      <c r="L76" s="183" t="str">
        <f t="shared" si="14"/>
        <v/>
      </c>
      <c r="M76" s="184" t="str">
        <f t="shared" si="15"/>
        <v/>
      </c>
      <c r="N76" s="180"/>
      <c r="O76" s="181"/>
      <c r="P76" s="182"/>
      <c r="Q76" s="168" t="str">
        <f t="shared" si="16"/>
        <v/>
      </c>
      <c r="R76" s="183" t="str">
        <f t="shared" si="17"/>
        <v/>
      </c>
      <c r="S76" s="184" t="str">
        <f t="shared" si="18"/>
        <v/>
      </c>
      <c r="T76" s="180"/>
      <c r="U76" s="181"/>
      <c r="V76" s="182"/>
      <c r="W76" s="168" t="str">
        <f t="shared" si="19"/>
        <v/>
      </c>
      <c r="X76" s="183" t="str">
        <f t="shared" si="20"/>
        <v/>
      </c>
      <c r="Y76" s="184" t="str">
        <f t="shared" si="21"/>
        <v/>
      </c>
      <c r="Z76" s="185" t="str">
        <f t="shared" si="22"/>
        <v/>
      </c>
      <c r="AA76" s="186" t="str">
        <f t="shared" si="23"/>
        <v/>
      </c>
      <c r="AB76" s="187" t="str">
        <f t="shared" si="24"/>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13"/>
        <v/>
      </c>
      <c r="L77" s="183" t="str">
        <f t="shared" si="14"/>
        <v/>
      </c>
      <c r="M77" s="184" t="str">
        <f t="shared" si="15"/>
        <v/>
      </c>
      <c r="N77" s="180"/>
      <c r="O77" s="181"/>
      <c r="P77" s="182"/>
      <c r="Q77" s="168" t="str">
        <f t="shared" si="16"/>
        <v/>
      </c>
      <c r="R77" s="183" t="str">
        <f t="shared" si="17"/>
        <v/>
      </c>
      <c r="S77" s="184" t="str">
        <f t="shared" si="18"/>
        <v/>
      </c>
      <c r="T77" s="180"/>
      <c r="U77" s="181"/>
      <c r="V77" s="182"/>
      <c r="W77" s="168" t="str">
        <f t="shared" si="19"/>
        <v/>
      </c>
      <c r="X77" s="183" t="str">
        <f t="shared" si="20"/>
        <v/>
      </c>
      <c r="Y77" s="184" t="str">
        <f t="shared" si="21"/>
        <v/>
      </c>
      <c r="Z77" s="185" t="str">
        <f t="shared" si="22"/>
        <v/>
      </c>
      <c r="AA77" s="186" t="str">
        <f t="shared" si="23"/>
        <v/>
      </c>
      <c r="AB77" s="187" t="str">
        <f t="shared" si="24"/>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13"/>
        <v/>
      </c>
      <c r="L78" s="183" t="str">
        <f t="shared" si="14"/>
        <v/>
      </c>
      <c r="M78" s="184" t="str">
        <f t="shared" si="15"/>
        <v/>
      </c>
      <c r="N78" s="180"/>
      <c r="O78" s="181"/>
      <c r="P78" s="182"/>
      <c r="Q78" s="168" t="str">
        <f t="shared" si="16"/>
        <v/>
      </c>
      <c r="R78" s="183" t="str">
        <f t="shared" si="17"/>
        <v/>
      </c>
      <c r="S78" s="184" t="str">
        <f t="shared" si="18"/>
        <v/>
      </c>
      <c r="T78" s="180"/>
      <c r="U78" s="181"/>
      <c r="V78" s="182"/>
      <c r="W78" s="168" t="str">
        <f t="shared" si="19"/>
        <v/>
      </c>
      <c r="X78" s="183" t="str">
        <f t="shared" si="20"/>
        <v/>
      </c>
      <c r="Y78" s="184" t="str">
        <f t="shared" si="21"/>
        <v/>
      </c>
      <c r="Z78" s="185" t="str">
        <f t="shared" si="22"/>
        <v/>
      </c>
      <c r="AA78" s="186" t="str">
        <f t="shared" si="23"/>
        <v/>
      </c>
      <c r="AB78" s="187" t="str">
        <f t="shared" si="24"/>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13"/>
        <v/>
      </c>
      <c r="L79" s="183" t="str">
        <f t="shared" si="14"/>
        <v/>
      </c>
      <c r="M79" s="184" t="str">
        <f t="shared" si="15"/>
        <v/>
      </c>
      <c r="N79" s="180"/>
      <c r="O79" s="181"/>
      <c r="P79" s="182"/>
      <c r="Q79" s="168" t="str">
        <f t="shared" si="16"/>
        <v/>
      </c>
      <c r="R79" s="183" t="str">
        <f t="shared" si="17"/>
        <v/>
      </c>
      <c r="S79" s="184" t="str">
        <f t="shared" si="18"/>
        <v/>
      </c>
      <c r="T79" s="180"/>
      <c r="U79" s="181"/>
      <c r="V79" s="182"/>
      <c r="W79" s="168" t="str">
        <f t="shared" si="19"/>
        <v/>
      </c>
      <c r="X79" s="183" t="str">
        <f t="shared" si="20"/>
        <v/>
      </c>
      <c r="Y79" s="184" t="str">
        <f t="shared" si="21"/>
        <v/>
      </c>
      <c r="Z79" s="185" t="str">
        <f t="shared" si="22"/>
        <v/>
      </c>
      <c r="AA79" s="186" t="str">
        <f t="shared" si="23"/>
        <v/>
      </c>
      <c r="AB79" s="187" t="str">
        <f t="shared" si="24"/>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13"/>
        <v/>
      </c>
      <c r="L80" s="183" t="str">
        <f t="shared" si="14"/>
        <v/>
      </c>
      <c r="M80" s="184" t="str">
        <f t="shared" si="15"/>
        <v/>
      </c>
      <c r="N80" s="180"/>
      <c r="O80" s="181"/>
      <c r="P80" s="182"/>
      <c r="Q80" s="168" t="str">
        <f t="shared" si="16"/>
        <v/>
      </c>
      <c r="R80" s="183" t="str">
        <f t="shared" si="17"/>
        <v/>
      </c>
      <c r="S80" s="184" t="str">
        <f t="shared" si="18"/>
        <v/>
      </c>
      <c r="T80" s="180"/>
      <c r="U80" s="181"/>
      <c r="V80" s="182"/>
      <c r="W80" s="168" t="str">
        <f t="shared" si="19"/>
        <v/>
      </c>
      <c r="X80" s="183" t="str">
        <f t="shared" si="20"/>
        <v/>
      </c>
      <c r="Y80" s="184" t="str">
        <f t="shared" si="21"/>
        <v/>
      </c>
      <c r="Z80" s="185" t="str">
        <f t="shared" si="22"/>
        <v/>
      </c>
      <c r="AA80" s="186" t="str">
        <f t="shared" si="23"/>
        <v/>
      </c>
      <c r="AB80" s="187" t="str">
        <f t="shared" si="24"/>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13"/>
        <v/>
      </c>
      <c r="L81" s="183" t="str">
        <f t="shared" si="14"/>
        <v/>
      </c>
      <c r="M81" s="184" t="str">
        <f t="shared" si="15"/>
        <v/>
      </c>
      <c r="N81" s="180"/>
      <c r="O81" s="181"/>
      <c r="P81" s="182"/>
      <c r="Q81" s="168" t="str">
        <f t="shared" si="16"/>
        <v/>
      </c>
      <c r="R81" s="183" t="str">
        <f t="shared" si="17"/>
        <v/>
      </c>
      <c r="S81" s="184" t="str">
        <f t="shared" si="18"/>
        <v/>
      </c>
      <c r="T81" s="180"/>
      <c r="U81" s="181"/>
      <c r="V81" s="182"/>
      <c r="W81" s="168" t="str">
        <f t="shared" si="19"/>
        <v/>
      </c>
      <c r="X81" s="183" t="str">
        <f t="shared" si="20"/>
        <v/>
      </c>
      <c r="Y81" s="184" t="str">
        <f t="shared" si="21"/>
        <v/>
      </c>
      <c r="Z81" s="185" t="str">
        <f t="shared" si="22"/>
        <v/>
      </c>
      <c r="AA81" s="186" t="str">
        <f t="shared" si="23"/>
        <v/>
      </c>
      <c r="AB81" s="187" t="str">
        <f t="shared" si="24"/>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13"/>
        <v/>
      </c>
      <c r="L82" s="183" t="str">
        <f t="shared" si="14"/>
        <v/>
      </c>
      <c r="M82" s="184" t="str">
        <f t="shared" si="15"/>
        <v/>
      </c>
      <c r="N82" s="180"/>
      <c r="O82" s="181"/>
      <c r="P82" s="182"/>
      <c r="Q82" s="168" t="str">
        <f t="shared" si="16"/>
        <v/>
      </c>
      <c r="R82" s="183" t="str">
        <f t="shared" si="17"/>
        <v/>
      </c>
      <c r="S82" s="184" t="str">
        <f t="shared" si="18"/>
        <v/>
      </c>
      <c r="T82" s="180"/>
      <c r="U82" s="181"/>
      <c r="V82" s="182"/>
      <c r="W82" s="168" t="str">
        <f t="shared" si="19"/>
        <v/>
      </c>
      <c r="X82" s="183" t="str">
        <f t="shared" si="20"/>
        <v/>
      </c>
      <c r="Y82" s="184" t="str">
        <f t="shared" si="21"/>
        <v/>
      </c>
      <c r="Z82" s="185" t="str">
        <f t="shared" si="22"/>
        <v/>
      </c>
      <c r="AA82" s="186" t="str">
        <f t="shared" si="23"/>
        <v/>
      </c>
      <c r="AB82" s="187" t="str">
        <f t="shared" si="24"/>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13"/>
        <v/>
      </c>
      <c r="L83" s="183" t="str">
        <f t="shared" si="14"/>
        <v/>
      </c>
      <c r="M83" s="184" t="str">
        <f t="shared" si="15"/>
        <v/>
      </c>
      <c r="N83" s="180"/>
      <c r="O83" s="181"/>
      <c r="P83" s="182"/>
      <c r="Q83" s="168" t="str">
        <f t="shared" si="16"/>
        <v/>
      </c>
      <c r="R83" s="183" t="str">
        <f t="shared" si="17"/>
        <v/>
      </c>
      <c r="S83" s="184" t="str">
        <f t="shared" si="18"/>
        <v/>
      </c>
      <c r="T83" s="180"/>
      <c r="U83" s="181"/>
      <c r="V83" s="182"/>
      <c r="W83" s="168" t="str">
        <f t="shared" si="19"/>
        <v/>
      </c>
      <c r="X83" s="183" t="str">
        <f t="shared" si="20"/>
        <v/>
      </c>
      <c r="Y83" s="184" t="str">
        <f t="shared" si="21"/>
        <v/>
      </c>
      <c r="Z83" s="185" t="str">
        <f t="shared" si="22"/>
        <v/>
      </c>
      <c r="AA83" s="186" t="str">
        <f t="shared" si="23"/>
        <v/>
      </c>
      <c r="AB83" s="187" t="str">
        <f t="shared" si="24"/>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13"/>
        <v/>
      </c>
      <c r="L84" s="183" t="str">
        <f t="shared" si="14"/>
        <v/>
      </c>
      <c r="M84" s="184" t="str">
        <f t="shared" si="15"/>
        <v/>
      </c>
      <c r="N84" s="180"/>
      <c r="O84" s="181"/>
      <c r="P84" s="182"/>
      <c r="Q84" s="168" t="str">
        <f t="shared" si="16"/>
        <v/>
      </c>
      <c r="R84" s="183" t="str">
        <f t="shared" si="17"/>
        <v/>
      </c>
      <c r="S84" s="184" t="str">
        <f t="shared" si="18"/>
        <v/>
      </c>
      <c r="T84" s="180"/>
      <c r="U84" s="181"/>
      <c r="V84" s="182"/>
      <c r="W84" s="168" t="str">
        <f t="shared" si="19"/>
        <v/>
      </c>
      <c r="X84" s="183" t="str">
        <f t="shared" si="20"/>
        <v/>
      </c>
      <c r="Y84" s="184" t="str">
        <f t="shared" si="21"/>
        <v/>
      </c>
      <c r="Z84" s="185" t="str">
        <f t="shared" si="22"/>
        <v/>
      </c>
      <c r="AA84" s="186" t="str">
        <f t="shared" si="23"/>
        <v/>
      </c>
      <c r="AB84" s="187" t="str">
        <f t="shared" si="24"/>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13"/>
        <v/>
      </c>
      <c r="L85" s="183" t="str">
        <f t="shared" si="14"/>
        <v/>
      </c>
      <c r="M85" s="184" t="str">
        <f t="shared" si="15"/>
        <v/>
      </c>
      <c r="N85" s="180"/>
      <c r="O85" s="181"/>
      <c r="P85" s="182"/>
      <c r="Q85" s="168" t="str">
        <f t="shared" si="16"/>
        <v/>
      </c>
      <c r="R85" s="183" t="str">
        <f t="shared" si="17"/>
        <v/>
      </c>
      <c r="S85" s="184" t="str">
        <f t="shared" si="18"/>
        <v/>
      </c>
      <c r="T85" s="180"/>
      <c r="U85" s="181"/>
      <c r="V85" s="182"/>
      <c r="W85" s="168" t="str">
        <f t="shared" si="19"/>
        <v/>
      </c>
      <c r="X85" s="183" t="str">
        <f t="shared" si="20"/>
        <v/>
      </c>
      <c r="Y85" s="184" t="str">
        <f t="shared" si="21"/>
        <v/>
      </c>
      <c r="Z85" s="185" t="str">
        <f t="shared" si="22"/>
        <v/>
      </c>
      <c r="AA85" s="186" t="str">
        <f t="shared" si="23"/>
        <v/>
      </c>
      <c r="AB85" s="187" t="str">
        <f t="shared" si="24"/>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13"/>
        <v/>
      </c>
      <c r="L86" s="183" t="str">
        <f t="shared" si="14"/>
        <v/>
      </c>
      <c r="M86" s="184" t="str">
        <f t="shared" si="15"/>
        <v/>
      </c>
      <c r="N86" s="180"/>
      <c r="O86" s="181"/>
      <c r="P86" s="182"/>
      <c r="Q86" s="168" t="str">
        <f t="shared" si="16"/>
        <v/>
      </c>
      <c r="R86" s="183" t="str">
        <f t="shared" si="17"/>
        <v/>
      </c>
      <c r="S86" s="184" t="str">
        <f t="shared" si="18"/>
        <v/>
      </c>
      <c r="T86" s="180"/>
      <c r="U86" s="181"/>
      <c r="V86" s="182"/>
      <c r="W86" s="168" t="str">
        <f t="shared" si="19"/>
        <v/>
      </c>
      <c r="X86" s="183" t="str">
        <f t="shared" si="20"/>
        <v/>
      </c>
      <c r="Y86" s="184" t="str">
        <f t="shared" si="21"/>
        <v/>
      </c>
      <c r="Z86" s="185" t="str">
        <f t="shared" si="22"/>
        <v/>
      </c>
      <c r="AA86" s="186" t="str">
        <f t="shared" si="23"/>
        <v/>
      </c>
      <c r="AB86" s="187" t="str">
        <f t="shared" si="24"/>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13"/>
        <v/>
      </c>
      <c r="L87" s="183" t="str">
        <f t="shared" si="14"/>
        <v/>
      </c>
      <c r="M87" s="184" t="str">
        <f t="shared" si="15"/>
        <v/>
      </c>
      <c r="N87" s="180"/>
      <c r="O87" s="181"/>
      <c r="P87" s="182"/>
      <c r="Q87" s="168" t="str">
        <f t="shared" si="16"/>
        <v/>
      </c>
      <c r="R87" s="183" t="str">
        <f t="shared" si="17"/>
        <v/>
      </c>
      <c r="S87" s="184" t="str">
        <f t="shared" si="18"/>
        <v/>
      </c>
      <c r="T87" s="180"/>
      <c r="U87" s="181"/>
      <c r="V87" s="182"/>
      <c r="W87" s="168" t="str">
        <f t="shared" si="19"/>
        <v/>
      </c>
      <c r="X87" s="183" t="str">
        <f t="shared" si="20"/>
        <v/>
      </c>
      <c r="Y87" s="184" t="str">
        <f t="shared" si="21"/>
        <v/>
      </c>
      <c r="Z87" s="185" t="str">
        <f t="shared" si="22"/>
        <v/>
      </c>
      <c r="AA87" s="186" t="str">
        <f t="shared" si="23"/>
        <v/>
      </c>
      <c r="AB87" s="187" t="str">
        <f t="shared" si="24"/>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13"/>
        <v/>
      </c>
      <c r="L88" s="183" t="str">
        <f t="shared" si="14"/>
        <v/>
      </c>
      <c r="M88" s="184" t="str">
        <f t="shared" si="15"/>
        <v/>
      </c>
      <c r="N88" s="180"/>
      <c r="O88" s="181"/>
      <c r="P88" s="182"/>
      <c r="Q88" s="168" t="str">
        <f t="shared" si="16"/>
        <v/>
      </c>
      <c r="R88" s="183" t="str">
        <f t="shared" si="17"/>
        <v/>
      </c>
      <c r="S88" s="184" t="str">
        <f t="shared" si="18"/>
        <v/>
      </c>
      <c r="T88" s="180"/>
      <c r="U88" s="181"/>
      <c r="V88" s="182"/>
      <c r="W88" s="168" t="str">
        <f t="shared" si="19"/>
        <v/>
      </c>
      <c r="X88" s="183" t="str">
        <f t="shared" si="20"/>
        <v/>
      </c>
      <c r="Y88" s="184" t="str">
        <f t="shared" si="21"/>
        <v/>
      </c>
      <c r="Z88" s="185" t="str">
        <f t="shared" si="22"/>
        <v/>
      </c>
      <c r="AA88" s="186" t="str">
        <f t="shared" si="23"/>
        <v/>
      </c>
      <c r="AB88" s="187" t="str">
        <f t="shared" si="24"/>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13"/>
        <v/>
      </c>
      <c r="L89" s="183" t="str">
        <f t="shared" si="14"/>
        <v/>
      </c>
      <c r="M89" s="184" t="str">
        <f t="shared" si="15"/>
        <v/>
      </c>
      <c r="N89" s="180"/>
      <c r="O89" s="181"/>
      <c r="P89" s="182"/>
      <c r="Q89" s="168" t="str">
        <f t="shared" si="16"/>
        <v/>
      </c>
      <c r="R89" s="183" t="str">
        <f t="shared" si="17"/>
        <v/>
      </c>
      <c r="S89" s="184" t="str">
        <f t="shared" si="18"/>
        <v/>
      </c>
      <c r="T89" s="180"/>
      <c r="U89" s="181"/>
      <c r="V89" s="182"/>
      <c r="W89" s="168" t="str">
        <f t="shared" si="19"/>
        <v/>
      </c>
      <c r="X89" s="183" t="str">
        <f t="shared" si="20"/>
        <v/>
      </c>
      <c r="Y89" s="184" t="str">
        <f t="shared" si="21"/>
        <v/>
      </c>
      <c r="Z89" s="185" t="str">
        <f t="shared" si="22"/>
        <v/>
      </c>
      <c r="AA89" s="186" t="str">
        <f t="shared" si="23"/>
        <v/>
      </c>
      <c r="AB89" s="187" t="str">
        <f t="shared" si="24"/>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13"/>
        <v/>
      </c>
      <c r="L90" s="183" t="str">
        <f t="shared" si="14"/>
        <v/>
      </c>
      <c r="M90" s="184" t="str">
        <f t="shared" si="15"/>
        <v/>
      </c>
      <c r="N90" s="180"/>
      <c r="O90" s="181"/>
      <c r="P90" s="182"/>
      <c r="Q90" s="168" t="str">
        <f t="shared" si="16"/>
        <v/>
      </c>
      <c r="R90" s="183" t="str">
        <f t="shared" si="17"/>
        <v/>
      </c>
      <c r="S90" s="184" t="str">
        <f t="shared" si="18"/>
        <v/>
      </c>
      <c r="T90" s="180"/>
      <c r="U90" s="181"/>
      <c r="V90" s="182"/>
      <c r="W90" s="168" t="str">
        <f t="shared" si="19"/>
        <v/>
      </c>
      <c r="X90" s="183" t="str">
        <f t="shared" si="20"/>
        <v/>
      </c>
      <c r="Y90" s="184" t="str">
        <f t="shared" si="21"/>
        <v/>
      </c>
      <c r="Z90" s="185" t="str">
        <f t="shared" si="22"/>
        <v/>
      </c>
      <c r="AA90" s="186" t="str">
        <f t="shared" si="23"/>
        <v/>
      </c>
      <c r="AB90" s="187" t="str">
        <f t="shared" si="24"/>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13"/>
        <v/>
      </c>
      <c r="L91" s="183" t="str">
        <f t="shared" si="14"/>
        <v/>
      </c>
      <c r="M91" s="184" t="str">
        <f t="shared" si="15"/>
        <v/>
      </c>
      <c r="N91" s="180"/>
      <c r="O91" s="181"/>
      <c r="P91" s="182"/>
      <c r="Q91" s="168" t="str">
        <f t="shared" si="16"/>
        <v/>
      </c>
      <c r="R91" s="183" t="str">
        <f t="shared" si="17"/>
        <v/>
      </c>
      <c r="S91" s="184" t="str">
        <f t="shared" si="18"/>
        <v/>
      </c>
      <c r="T91" s="180"/>
      <c r="U91" s="181"/>
      <c r="V91" s="182"/>
      <c r="W91" s="168" t="str">
        <f t="shared" si="19"/>
        <v/>
      </c>
      <c r="X91" s="183" t="str">
        <f t="shared" si="20"/>
        <v/>
      </c>
      <c r="Y91" s="184" t="str">
        <f t="shared" si="21"/>
        <v/>
      </c>
      <c r="Z91" s="185" t="str">
        <f t="shared" si="22"/>
        <v/>
      </c>
      <c r="AA91" s="186" t="str">
        <f t="shared" si="23"/>
        <v/>
      </c>
      <c r="AB91" s="187" t="str">
        <f t="shared" si="24"/>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13"/>
        <v/>
      </c>
      <c r="L92" s="183" t="str">
        <f t="shared" si="14"/>
        <v/>
      </c>
      <c r="M92" s="184" t="str">
        <f t="shared" si="15"/>
        <v/>
      </c>
      <c r="N92" s="180"/>
      <c r="O92" s="181"/>
      <c r="P92" s="182"/>
      <c r="Q92" s="168" t="str">
        <f t="shared" si="16"/>
        <v/>
      </c>
      <c r="R92" s="183" t="str">
        <f t="shared" si="17"/>
        <v/>
      </c>
      <c r="S92" s="184" t="str">
        <f t="shared" si="18"/>
        <v/>
      </c>
      <c r="T92" s="180"/>
      <c r="U92" s="181"/>
      <c r="V92" s="182"/>
      <c r="W92" s="168" t="str">
        <f t="shared" si="19"/>
        <v/>
      </c>
      <c r="X92" s="183" t="str">
        <f t="shared" si="20"/>
        <v/>
      </c>
      <c r="Y92" s="184" t="str">
        <f t="shared" si="21"/>
        <v/>
      </c>
      <c r="Z92" s="185" t="str">
        <f t="shared" si="22"/>
        <v/>
      </c>
      <c r="AA92" s="186" t="str">
        <f t="shared" si="23"/>
        <v/>
      </c>
      <c r="AB92" s="187" t="str">
        <f t="shared" si="24"/>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13"/>
        <v/>
      </c>
      <c r="L93" s="183" t="str">
        <f t="shared" si="14"/>
        <v/>
      </c>
      <c r="M93" s="184" t="str">
        <f t="shared" si="15"/>
        <v/>
      </c>
      <c r="N93" s="180"/>
      <c r="O93" s="181"/>
      <c r="P93" s="182"/>
      <c r="Q93" s="168" t="str">
        <f t="shared" si="16"/>
        <v/>
      </c>
      <c r="R93" s="183" t="str">
        <f t="shared" si="17"/>
        <v/>
      </c>
      <c r="S93" s="184" t="str">
        <f t="shared" si="18"/>
        <v/>
      </c>
      <c r="T93" s="180"/>
      <c r="U93" s="181"/>
      <c r="V93" s="182"/>
      <c r="W93" s="168" t="str">
        <f t="shared" si="19"/>
        <v/>
      </c>
      <c r="X93" s="183" t="str">
        <f t="shared" si="20"/>
        <v/>
      </c>
      <c r="Y93" s="184" t="str">
        <f t="shared" si="21"/>
        <v/>
      </c>
      <c r="Z93" s="185" t="str">
        <f t="shared" si="22"/>
        <v/>
      </c>
      <c r="AA93" s="186" t="str">
        <f t="shared" si="23"/>
        <v/>
      </c>
      <c r="AB93" s="187" t="str">
        <f t="shared" si="24"/>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13"/>
        <v/>
      </c>
      <c r="L94" s="183" t="str">
        <f t="shared" si="14"/>
        <v/>
      </c>
      <c r="M94" s="184" t="str">
        <f t="shared" si="15"/>
        <v/>
      </c>
      <c r="N94" s="180"/>
      <c r="O94" s="181"/>
      <c r="P94" s="182"/>
      <c r="Q94" s="168" t="str">
        <f t="shared" si="16"/>
        <v/>
      </c>
      <c r="R94" s="183" t="str">
        <f t="shared" si="17"/>
        <v/>
      </c>
      <c r="S94" s="184" t="str">
        <f t="shared" si="18"/>
        <v/>
      </c>
      <c r="T94" s="180"/>
      <c r="U94" s="181"/>
      <c r="V94" s="182"/>
      <c r="W94" s="168" t="str">
        <f t="shared" si="19"/>
        <v/>
      </c>
      <c r="X94" s="183" t="str">
        <f t="shared" si="20"/>
        <v/>
      </c>
      <c r="Y94" s="184" t="str">
        <f t="shared" si="21"/>
        <v/>
      </c>
      <c r="Z94" s="185" t="str">
        <f t="shared" si="22"/>
        <v/>
      </c>
      <c r="AA94" s="186" t="str">
        <f t="shared" si="23"/>
        <v/>
      </c>
      <c r="AB94" s="187" t="str">
        <f t="shared" si="24"/>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13"/>
        <v/>
      </c>
      <c r="L95" s="183" t="str">
        <f t="shared" si="14"/>
        <v/>
      </c>
      <c r="M95" s="184" t="str">
        <f t="shared" si="15"/>
        <v/>
      </c>
      <c r="N95" s="180"/>
      <c r="O95" s="181"/>
      <c r="P95" s="182"/>
      <c r="Q95" s="168" t="str">
        <f t="shared" si="16"/>
        <v/>
      </c>
      <c r="R95" s="183" t="str">
        <f t="shared" si="17"/>
        <v/>
      </c>
      <c r="S95" s="184" t="str">
        <f t="shared" si="18"/>
        <v/>
      </c>
      <c r="T95" s="180"/>
      <c r="U95" s="181"/>
      <c r="V95" s="182"/>
      <c r="W95" s="168" t="str">
        <f t="shared" si="19"/>
        <v/>
      </c>
      <c r="X95" s="183" t="str">
        <f t="shared" si="20"/>
        <v/>
      </c>
      <c r="Y95" s="184" t="str">
        <f t="shared" si="21"/>
        <v/>
      </c>
      <c r="Z95" s="185" t="str">
        <f t="shared" si="22"/>
        <v/>
      </c>
      <c r="AA95" s="186" t="str">
        <f t="shared" si="23"/>
        <v/>
      </c>
      <c r="AB95" s="187" t="str">
        <f t="shared" si="24"/>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13"/>
        <v/>
      </c>
      <c r="L96" s="183" t="str">
        <f t="shared" si="14"/>
        <v/>
      </c>
      <c r="M96" s="184" t="str">
        <f t="shared" si="15"/>
        <v/>
      </c>
      <c r="N96" s="180"/>
      <c r="O96" s="181"/>
      <c r="P96" s="182"/>
      <c r="Q96" s="168" t="str">
        <f t="shared" si="16"/>
        <v/>
      </c>
      <c r="R96" s="183" t="str">
        <f t="shared" si="17"/>
        <v/>
      </c>
      <c r="S96" s="184" t="str">
        <f t="shared" si="18"/>
        <v/>
      </c>
      <c r="T96" s="180"/>
      <c r="U96" s="181"/>
      <c r="V96" s="182"/>
      <c r="W96" s="168" t="str">
        <f t="shared" si="19"/>
        <v/>
      </c>
      <c r="X96" s="183" t="str">
        <f t="shared" si="20"/>
        <v/>
      </c>
      <c r="Y96" s="184" t="str">
        <f t="shared" si="21"/>
        <v/>
      </c>
      <c r="Z96" s="185" t="str">
        <f t="shared" si="22"/>
        <v/>
      </c>
      <c r="AA96" s="186" t="str">
        <f t="shared" si="23"/>
        <v/>
      </c>
      <c r="AB96" s="187" t="str">
        <f t="shared" si="24"/>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13"/>
        <v/>
      </c>
      <c r="L97" s="183" t="str">
        <f t="shared" si="14"/>
        <v/>
      </c>
      <c r="M97" s="184" t="str">
        <f t="shared" si="15"/>
        <v/>
      </c>
      <c r="N97" s="180"/>
      <c r="O97" s="181"/>
      <c r="P97" s="182"/>
      <c r="Q97" s="168" t="str">
        <f t="shared" si="16"/>
        <v/>
      </c>
      <c r="R97" s="183" t="str">
        <f t="shared" si="17"/>
        <v/>
      </c>
      <c r="S97" s="184" t="str">
        <f t="shared" si="18"/>
        <v/>
      </c>
      <c r="T97" s="180"/>
      <c r="U97" s="181"/>
      <c r="V97" s="182"/>
      <c r="W97" s="168" t="str">
        <f t="shared" si="19"/>
        <v/>
      </c>
      <c r="X97" s="183" t="str">
        <f t="shared" si="20"/>
        <v/>
      </c>
      <c r="Y97" s="184" t="str">
        <f t="shared" si="21"/>
        <v/>
      </c>
      <c r="Z97" s="185" t="str">
        <f t="shared" si="22"/>
        <v/>
      </c>
      <c r="AA97" s="186" t="str">
        <f t="shared" si="23"/>
        <v/>
      </c>
      <c r="AB97" s="187" t="str">
        <f t="shared" si="24"/>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13"/>
        <v/>
      </c>
      <c r="L98" s="183" t="str">
        <f t="shared" si="14"/>
        <v/>
      </c>
      <c r="M98" s="184" t="str">
        <f t="shared" si="15"/>
        <v/>
      </c>
      <c r="N98" s="180"/>
      <c r="O98" s="181"/>
      <c r="P98" s="182"/>
      <c r="Q98" s="168" t="str">
        <f t="shared" si="16"/>
        <v/>
      </c>
      <c r="R98" s="183" t="str">
        <f t="shared" si="17"/>
        <v/>
      </c>
      <c r="S98" s="184" t="str">
        <f t="shared" si="18"/>
        <v/>
      </c>
      <c r="T98" s="180"/>
      <c r="U98" s="181"/>
      <c r="V98" s="182"/>
      <c r="W98" s="168" t="str">
        <f t="shared" si="19"/>
        <v/>
      </c>
      <c r="X98" s="183" t="str">
        <f t="shared" si="20"/>
        <v/>
      </c>
      <c r="Y98" s="184" t="str">
        <f t="shared" si="21"/>
        <v/>
      </c>
      <c r="Z98" s="185" t="str">
        <f t="shared" si="22"/>
        <v/>
      </c>
      <c r="AA98" s="186" t="str">
        <f t="shared" si="23"/>
        <v/>
      </c>
      <c r="AB98" s="187" t="str">
        <f t="shared" si="24"/>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13"/>
        <v/>
      </c>
      <c r="L99" s="183" t="str">
        <f t="shared" si="14"/>
        <v/>
      </c>
      <c r="M99" s="184" t="str">
        <f t="shared" si="15"/>
        <v/>
      </c>
      <c r="N99" s="180"/>
      <c r="O99" s="181"/>
      <c r="P99" s="182"/>
      <c r="Q99" s="168" t="str">
        <f t="shared" si="16"/>
        <v/>
      </c>
      <c r="R99" s="183" t="str">
        <f t="shared" si="17"/>
        <v/>
      </c>
      <c r="S99" s="184" t="str">
        <f t="shared" si="18"/>
        <v/>
      </c>
      <c r="T99" s="180"/>
      <c r="U99" s="181"/>
      <c r="V99" s="182"/>
      <c r="W99" s="168" t="str">
        <f t="shared" si="19"/>
        <v/>
      </c>
      <c r="X99" s="183" t="str">
        <f t="shared" si="20"/>
        <v/>
      </c>
      <c r="Y99" s="184" t="str">
        <f t="shared" si="21"/>
        <v/>
      </c>
      <c r="Z99" s="185" t="str">
        <f t="shared" si="22"/>
        <v/>
      </c>
      <c r="AA99" s="186" t="str">
        <f t="shared" si="23"/>
        <v/>
      </c>
      <c r="AB99" s="187" t="str">
        <f t="shared" si="24"/>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13"/>
        <v/>
      </c>
      <c r="L100" s="183" t="str">
        <f t="shared" si="14"/>
        <v/>
      </c>
      <c r="M100" s="184" t="str">
        <f t="shared" si="15"/>
        <v/>
      </c>
      <c r="N100" s="180"/>
      <c r="O100" s="181"/>
      <c r="P100" s="182"/>
      <c r="Q100" s="168" t="str">
        <f t="shared" si="16"/>
        <v/>
      </c>
      <c r="R100" s="183" t="str">
        <f t="shared" si="17"/>
        <v/>
      </c>
      <c r="S100" s="184" t="str">
        <f t="shared" si="18"/>
        <v/>
      </c>
      <c r="T100" s="180"/>
      <c r="U100" s="181"/>
      <c r="V100" s="182"/>
      <c r="W100" s="168" t="str">
        <f t="shared" si="19"/>
        <v/>
      </c>
      <c r="X100" s="183" t="str">
        <f t="shared" si="20"/>
        <v/>
      </c>
      <c r="Y100" s="184" t="str">
        <f t="shared" si="21"/>
        <v/>
      </c>
      <c r="Z100" s="185" t="str">
        <f t="shared" si="22"/>
        <v/>
      </c>
      <c r="AA100" s="186" t="str">
        <f t="shared" si="23"/>
        <v/>
      </c>
      <c r="AB100" s="187" t="str">
        <f t="shared" si="24"/>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si="13"/>
        <v/>
      </c>
      <c r="L101" s="183" t="str">
        <f t="shared" si="14"/>
        <v/>
      </c>
      <c r="M101" s="184" t="str">
        <f t="shared" si="15"/>
        <v/>
      </c>
      <c r="N101" s="180"/>
      <c r="O101" s="181"/>
      <c r="P101" s="182"/>
      <c r="Q101" s="168" t="str">
        <f t="shared" si="16"/>
        <v/>
      </c>
      <c r="R101" s="183" t="str">
        <f t="shared" si="17"/>
        <v/>
      </c>
      <c r="S101" s="184" t="str">
        <f t="shared" si="18"/>
        <v/>
      </c>
      <c r="T101" s="180"/>
      <c r="U101" s="181"/>
      <c r="V101" s="182"/>
      <c r="W101" s="168" t="str">
        <f t="shared" si="19"/>
        <v/>
      </c>
      <c r="X101" s="183" t="str">
        <f t="shared" si="20"/>
        <v/>
      </c>
      <c r="Y101" s="184" t="str">
        <f t="shared" si="21"/>
        <v/>
      </c>
      <c r="Z101" s="185" t="str">
        <f t="shared" si="22"/>
        <v/>
      </c>
      <c r="AA101" s="186" t="str">
        <f t="shared" si="23"/>
        <v/>
      </c>
      <c r="AB101" s="187" t="str">
        <f t="shared" si="24"/>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13"/>
        <v/>
      </c>
      <c r="L102" s="183" t="str">
        <f t="shared" si="14"/>
        <v/>
      </c>
      <c r="M102" s="184" t="str">
        <f t="shared" si="15"/>
        <v/>
      </c>
      <c r="N102" s="180"/>
      <c r="O102" s="181"/>
      <c r="P102" s="182"/>
      <c r="Q102" s="168" t="str">
        <f t="shared" si="16"/>
        <v/>
      </c>
      <c r="R102" s="183" t="str">
        <f t="shared" si="17"/>
        <v/>
      </c>
      <c r="S102" s="184" t="str">
        <f t="shared" si="18"/>
        <v/>
      </c>
      <c r="T102" s="180"/>
      <c r="U102" s="181"/>
      <c r="V102" s="182"/>
      <c r="W102" s="168" t="str">
        <f t="shared" si="19"/>
        <v/>
      </c>
      <c r="X102" s="183" t="str">
        <f t="shared" si="20"/>
        <v/>
      </c>
      <c r="Y102" s="184" t="str">
        <f t="shared" si="21"/>
        <v/>
      </c>
      <c r="Z102" s="185" t="str">
        <f t="shared" si="22"/>
        <v/>
      </c>
      <c r="AA102" s="186" t="str">
        <f t="shared" si="23"/>
        <v/>
      </c>
      <c r="AB102" s="187" t="str">
        <f t="shared" si="24"/>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13"/>
        <v/>
      </c>
      <c r="L103" s="183" t="str">
        <f t="shared" si="14"/>
        <v/>
      </c>
      <c r="M103" s="184" t="str">
        <f t="shared" si="15"/>
        <v/>
      </c>
      <c r="N103" s="180"/>
      <c r="O103" s="181"/>
      <c r="P103" s="182"/>
      <c r="Q103" s="168" t="str">
        <f t="shared" si="16"/>
        <v/>
      </c>
      <c r="R103" s="183" t="str">
        <f t="shared" si="17"/>
        <v/>
      </c>
      <c r="S103" s="184" t="str">
        <f t="shared" si="18"/>
        <v/>
      </c>
      <c r="T103" s="180"/>
      <c r="U103" s="181"/>
      <c r="V103" s="182"/>
      <c r="W103" s="168" t="str">
        <f t="shared" si="19"/>
        <v/>
      </c>
      <c r="X103" s="183" t="str">
        <f t="shared" si="20"/>
        <v/>
      </c>
      <c r="Y103" s="184" t="str">
        <f t="shared" si="21"/>
        <v/>
      </c>
      <c r="Z103" s="185" t="str">
        <f t="shared" si="22"/>
        <v/>
      </c>
      <c r="AA103" s="186" t="str">
        <f t="shared" si="23"/>
        <v/>
      </c>
      <c r="AB103" s="187" t="str">
        <f t="shared" si="24"/>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13"/>
        <v/>
      </c>
      <c r="L104" s="183" t="str">
        <f t="shared" si="14"/>
        <v/>
      </c>
      <c r="M104" s="184" t="str">
        <f t="shared" si="15"/>
        <v/>
      </c>
      <c r="N104" s="180"/>
      <c r="O104" s="181"/>
      <c r="P104" s="182"/>
      <c r="Q104" s="168" t="str">
        <f t="shared" si="16"/>
        <v/>
      </c>
      <c r="R104" s="183" t="str">
        <f t="shared" si="17"/>
        <v/>
      </c>
      <c r="S104" s="184" t="str">
        <f t="shared" si="18"/>
        <v/>
      </c>
      <c r="T104" s="180"/>
      <c r="U104" s="181"/>
      <c r="V104" s="182"/>
      <c r="W104" s="168" t="str">
        <f t="shared" si="19"/>
        <v/>
      </c>
      <c r="X104" s="183" t="str">
        <f t="shared" si="20"/>
        <v/>
      </c>
      <c r="Y104" s="184" t="str">
        <f t="shared" si="21"/>
        <v/>
      </c>
      <c r="Z104" s="185" t="str">
        <f t="shared" si="22"/>
        <v/>
      </c>
      <c r="AA104" s="186" t="str">
        <f t="shared" si="23"/>
        <v/>
      </c>
      <c r="AB104" s="187" t="str">
        <f t="shared" si="24"/>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13"/>
        <v/>
      </c>
      <c r="L105" s="183" t="str">
        <f t="shared" si="14"/>
        <v/>
      </c>
      <c r="M105" s="184" t="str">
        <f t="shared" si="15"/>
        <v/>
      </c>
      <c r="N105" s="180"/>
      <c r="O105" s="181"/>
      <c r="P105" s="182"/>
      <c r="Q105" s="168" t="str">
        <f t="shared" si="16"/>
        <v/>
      </c>
      <c r="R105" s="183" t="str">
        <f t="shared" si="17"/>
        <v/>
      </c>
      <c r="S105" s="184" t="str">
        <f t="shared" si="18"/>
        <v/>
      </c>
      <c r="T105" s="180"/>
      <c r="U105" s="181"/>
      <c r="V105" s="182"/>
      <c r="W105" s="168" t="str">
        <f t="shared" si="19"/>
        <v/>
      </c>
      <c r="X105" s="183" t="str">
        <f t="shared" si="20"/>
        <v/>
      </c>
      <c r="Y105" s="184" t="str">
        <f t="shared" si="21"/>
        <v/>
      </c>
      <c r="Z105" s="185" t="str">
        <f t="shared" si="22"/>
        <v/>
      </c>
      <c r="AA105" s="186" t="str">
        <f t="shared" si="23"/>
        <v/>
      </c>
      <c r="AB105" s="187" t="str">
        <f t="shared" si="24"/>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13"/>
        <v/>
      </c>
      <c r="L106" s="183" t="str">
        <f t="shared" si="14"/>
        <v/>
      </c>
      <c r="M106" s="184" t="str">
        <f t="shared" si="15"/>
        <v/>
      </c>
      <c r="N106" s="180"/>
      <c r="O106" s="181"/>
      <c r="P106" s="182"/>
      <c r="Q106" s="168" t="str">
        <f t="shared" si="16"/>
        <v/>
      </c>
      <c r="R106" s="183" t="str">
        <f t="shared" si="17"/>
        <v/>
      </c>
      <c r="S106" s="184" t="str">
        <f t="shared" si="18"/>
        <v/>
      </c>
      <c r="T106" s="180"/>
      <c r="U106" s="181"/>
      <c r="V106" s="182"/>
      <c r="W106" s="168" t="str">
        <f t="shared" si="19"/>
        <v/>
      </c>
      <c r="X106" s="183" t="str">
        <f t="shared" si="20"/>
        <v/>
      </c>
      <c r="Y106" s="184" t="str">
        <f t="shared" si="21"/>
        <v/>
      </c>
      <c r="Z106" s="185" t="str">
        <f t="shared" si="22"/>
        <v/>
      </c>
      <c r="AA106" s="186" t="str">
        <f t="shared" si="23"/>
        <v/>
      </c>
      <c r="AB106" s="187" t="str">
        <f t="shared" si="24"/>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13"/>
        <v/>
      </c>
      <c r="L107" s="183" t="str">
        <f t="shared" si="14"/>
        <v/>
      </c>
      <c r="M107" s="184" t="str">
        <f t="shared" si="15"/>
        <v/>
      </c>
      <c r="N107" s="180"/>
      <c r="O107" s="181"/>
      <c r="P107" s="182"/>
      <c r="Q107" s="168" t="str">
        <f t="shared" si="16"/>
        <v/>
      </c>
      <c r="R107" s="183" t="str">
        <f t="shared" si="17"/>
        <v/>
      </c>
      <c r="S107" s="184" t="str">
        <f t="shared" si="18"/>
        <v/>
      </c>
      <c r="T107" s="180"/>
      <c r="U107" s="181"/>
      <c r="V107" s="182"/>
      <c r="W107" s="168" t="str">
        <f t="shared" si="19"/>
        <v/>
      </c>
      <c r="X107" s="183" t="str">
        <f t="shared" si="20"/>
        <v/>
      </c>
      <c r="Y107" s="184" t="str">
        <f t="shared" si="21"/>
        <v/>
      </c>
      <c r="Z107" s="185" t="str">
        <f t="shared" si="22"/>
        <v/>
      </c>
      <c r="AA107" s="186" t="str">
        <f t="shared" si="23"/>
        <v/>
      </c>
      <c r="AB107" s="187" t="str">
        <f t="shared" si="24"/>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13"/>
        <v/>
      </c>
      <c r="L108" s="183" t="str">
        <f t="shared" si="14"/>
        <v/>
      </c>
      <c r="M108" s="184" t="str">
        <f t="shared" si="15"/>
        <v/>
      </c>
      <c r="N108" s="180"/>
      <c r="O108" s="181"/>
      <c r="P108" s="182"/>
      <c r="Q108" s="168" t="str">
        <f t="shared" si="16"/>
        <v/>
      </c>
      <c r="R108" s="183" t="str">
        <f t="shared" si="17"/>
        <v/>
      </c>
      <c r="S108" s="184" t="str">
        <f t="shared" si="18"/>
        <v/>
      </c>
      <c r="T108" s="180"/>
      <c r="U108" s="181"/>
      <c r="V108" s="182"/>
      <c r="W108" s="168" t="str">
        <f t="shared" si="19"/>
        <v/>
      </c>
      <c r="X108" s="183" t="str">
        <f t="shared" si="20"/>
        <v/>
      </c>
      <c r="Y108" s="184" t="str">
        <f t="shared" si="21"/>
        <v/>
      </c>
      <c r="Z108" s="185" t="str">
        <f t="shared" si="22"/>
        <v/>
      </c>
      <c r="AA108" s="186" t="str">
        <f t="shared" si="23"/>
        <v/>
      </c>
      <c r="AB108" s="187" t="str">
        <f t="shared" si="24"/>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13"/>
        <v/>
      </c>
      <c r="L109" s="183" t="str">
        <f t="shared" si="14"/>
        <v/>
      </c>
      <c r="M109" s="184" t="str">
        <f t="shared" si="15"/>
        <v/>
      </c>
      <c r="N109" s="180"/>
      <c r="O109" s="181"/>
      <c r="P109" s="182"/>
      <c r="Q109" s="168" t="str">
        <f t="shared" si="16"/>
        <v/>
      </c>
      <c r="R109" s="183" t="str">
        <f t="shared" si="17"/>
        <v/>
      </c>
      <c r="S109" s="184" t="str">
        <f t="shared" si="18"/>
        <v/>
      </c>
      <c r="T109" s="180"/>
      <c r="U109" s="181"/>
      <c r="V109" s="182"/>
      <c r="W109" s="168" t="str">
        <f t="shared" si="19"/>
        <v/>
      </c>
      <c r="X109" s="183" t="str">
        <f t="shared" si="20"/>
        <v/>
      </c>
      <c r="Y109" s="184" t="str">
        <f t="shared" si="21"/>
        <v/>
      </c>
      <c r="Z109" s="185" t="str">
        <f t="shared" si="22"/>
        <v/>
      </c>
      <c r="AA109" s="186" t="str">
        <f t="shared" si="23"/>
        <v/>
      </c>
      <c r="AB109" s="187" t="str">
        <f t="shared" si="24"/>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13"/>
        <v/>
      </c>
      <c r="L110" s="183" t="str">
        <f t="shared" si="14"/>
        <v/>
      </c>
      <c r="M110" s="184" t="str">
        <f t="shared" si="15"/>
        <v/>
      </c>
      <c r="N110" s="180"/>
      <c r="O110" s="181"/>
      <c r="P110" s="182"/>
      <c r="Q110" s="168" t="str">
        <f t="shared" si="16"/>
        <v/>
      </c>
      <c r="R110" s="183" t="str">
        <f t="shared" si="17"/>
        <v/>
      </c>
      <c r="S110" s="184" t="str">
        <f t="shared" si="18"/>
        <v/>
      </c>
      <c r="T110" s="180"/>
      <c r="U110" s="181"/>
      <c r="V110" s="182"/>
      <c r="W110" s="168" t="str">
        <f t="shared" si="19"/>
        <v/>
      </c>
      <c r="X110" s="183" t="str">
        <f t="shared" si="20"/>
        <v/>
      </c>
      <c r="Y110" s="184" t="str">
        <f t="shared" si="21"/>
        <v/>
      </c>
      <c r="Z110" s="185" t="str">
        <f t="shared" si="22"/>
        <v/>
      </c>
      <c r="AA110" s="186" t="str">
        <f t="shared" si="23"/>
        <v/>
      </c>
      <c r="AB110" s="187" t="str">
        <f t="shared" si="24"/>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13"/>
        <v/>
      </c>
      <c r="L111" s="183" t="str">
        <f t="shared" si="14"/>
        <v/>
      </c>
      <c r="M111" s="184" t="str">
        <f t="shared" si="15"/>
        <v/>
      </c>
      <c r="N111" s="180"/>
      <c r="O111" s="181"/>
      <c r="P111" s="182"/>
      <c r="Q111" s="168" t="str">
        <f t="shared" si="16"/>
        <v/>
      </c>
      <c r="R111" s="183" t="str">
        <f t="shared" si="17"/>
        <v/>
      </c>
      <c r="S111" s="184" t="str">
        <f t="shared" si="18"/>
        <v/>
      </c>
      <c r="T111" s="180"/>
      <c r="U111" s="181"/>
      <c r="V111" s="182"/>
      <c r="W111" s="168" t="str">
        <f t="shared" si="19"/>
        <v/>
      </c>
      <c r="X111" s="183" t="str">
        <f t="shared" si="20"/>
        <v/>
      </c>
      <c r="Y111" s="184" t="str">
        <f t="shared" si="21"/>
        <v/>
      </c>
      <c r="Z111" s="185" t="str">
        <f t="shared" si="22"/>
        <v/>
      </c>
      <c r="AA111" s="186" t="str">
        <f t="shared" si="23"/>
        <v/>
      </c>
      <c r="AB111" s="187" t="str">
        <f t="shared" si="24"/>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13"/>
        <v/>
      </c>
      <c r="L112" s="183" t="str">
        <f t="shared" si="14"/>
        <v/>
      </c>
      <c r="M112" s="184" t="str">
        <f t="shared" si="15"/>
        <v/>
      </c>
      <c r="N112" s="180"/>
      <c r="O112" s="181"/>
      <c r="P112" s="182"/>
      <c r="Q112" s="168" t="str">
        <f t="shared" si="16"/>
        <v/>
      </c>
      <c r="R112" s="183" t="str">
        <f t="shared" si="17"/>
        <v/>
      </c>
      <c r="S112" s="184" t="str">
        <f t="shared" si="18"/>
        <v/>
      </c>
      <c r="T112" s="180"/>
      <c r="U112" s="181"/>
      <c r="V112" s="182"/>
      <c r="W112" s="168" t="str">
        <f t="shared" si="19"/>
        <v/>
      </c>
      <c r="X112" s="183" t="str">
        <f t="shared" si="20"/>
        <v/>
      </c>
      <c r="Y112" s="184" t="str">
        <f t="shared" si="21"/>
        <v/>
      </c>
      <c r="Z112" s="185" t="str">
        <f t="shared" si="22"/>
        <v/>
      </c>
      <c r="AA112" s="186" t="str">
        <f t="shared" si="23"/>
        <v/>
      </c>
      <c r="AB112" s="187" t="str">
        <f t="shared" si="24"/>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13"/>
        <v/>
      </c>
      <c r="L113" s="183" t="str">
        <f t="shared" si="14"/>
        <v/>
      </c>
      <c r="M113" s="184" t="str">
        <f t="shared" si="15"/>
        <v/>
      </c>
      <c r="N113" s="180"/>
      <c r="O113" s="181"/>
      <c r="P113" s="182"/>
      <c r="Q113" s="168" t="str">
        <f t="shared" si="16"/>
        <v/>
      </c>
      <c r="R113" s="183" t="str">
        <f t="shared" si="17"/>
        <v/>
      </c>
      <c r="S113" s="184" t="str">
        <f t="shared" si="18"/>
        <v/>
      </c>
      <c r="T113" s="180"/>
      <c r="U113" s="181"/>
      <c r="V113" s="182"/>
      <c r="W113" s="168" t="str">
        <f t="shared" si="19"/>
        <v/>
      </c>
      <c r="X113" s="183" t="str">
        <f t="shared" si="20"/>
        <v/>
      </c>
      <c r="Y113" s="184" t="str">
        <f t="shared" si="21"/>
        <v/>
      </c>
      <c r="Z113" s="185" t="str">
        <f t="shared" si="22"/>
        <v/>
      </c>
      <c r="AA113" s="186" t="str">
        <f t="shared" si="23"/>
        <v/>
      </c>
      <c r="AB113" s="187" t="str">
        <f t="shared" si="24"/>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13"/>
        <v/>
      </c>
      <c r="L114" s="183" t="str">
        <f t="shared" si="14"/>
        <v/>
      </c>
      <c r="M114" s="184" t="str">
        <f t="shared" si="15"/>
        <v/>
      </c>
      <c r="N114" s="180"/>
      <c r="O114" s="181"/>
      <c r="P114" s="182"/>
      <c r="Q114" s="168" t="str">
        <f t="shared" si="16"/>
        <v/>
      </c>
      <c r="R114" s="183" t="str">
        <f t="shared" si="17"/>
        <v/>
      </c>
      <c r="S114" s="184" t="str">
        <f t="shared" si="18"/>
        <v/>
      </c>
      <c r="T114" s="180"/>
      <c r="U114" s="181"/>
      <c r="V114" s="182"/>
      <c r="W114" s="168" t="str">
        <f t="shared" si="19"/>
        <v/>
      </c>
      <c r="X114" s="183" t="str">
        <f t="shared" si="20"/>
        <v/>
      </c>
      <c r="Y114" s="184" t="str">
        <f t="shared" si="21"/>
        <v/>
      </c>
      <c r="Z114" s="185" t="str">
        <f t="shared" si="22"/>
        <v/>
      </c>
      <c r="AA114" s="186" t="str">
        <f t="shared" si="23"/>
        <v/>
      </c>
      <c r="AB114" s="187" t="str">
        <f t="shared" si="24"/>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13"/>
        <v/>
      </c>
      <c r="L115" s="183" t="str">
        <f t="shared" si="14"/>
        <v/>
      </c>
      <c r="M115" s="184" t="str">
        <f t="shared" si="15"/>
        <v/>
      </c>
      <c r="N115" s="180"/>
      <c r="O115" s="181"/>
      <c r="P115" s="182"/>
      <c r="Q115" s="168" t="str">
        <f t="shared" si="16"/>
        <v/>
      </c>
      <c r="R115" s="183" t="str">
        <f t="shared" si="17"/>
        <v/>
      </c>
      <c r="S115" s="184" t="str">
        <f t="shared" si="18"/>
        <v/>
      </c>
      <c r="T115" s="180"/>
      <c r="U115" s="181"/>
      <c r="V115" s="182"/>
      <c r="W115" s="168" t="str">
        <f t="shared" si="19"/>
        <v/>
      </c>
      <c r="X115" s="183" t="str">
        <f t="shared" si="20"/>
        <v/>
      </c>
      <c r="Y115" s="184" t="str">
        <f t="shared" si="21"/>
        <v/>
      </c>
      <c r="Z115" s="185" t="str">
        <f t="shared" si="22"/>
        <v/>
      </c>
      <c r="AA115" s="186" t="str">
        <f t="shared" si="23"/>
        <v/>
      </c>
      <c r="AB115" s="187" t="str">
        <f t="shared" si="24"/>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13"/>
        <v/>
      </c>
      <c r="L116" s="183" t="str">
        <f t="shared" si="14"/>
        <v/>
      </c>
      <c r="M116" s="184" t="str">
        <f t="shared" si="15"/>
        <v/>
      </c>
      <c r="N116" s="180"/>
      <c r="O116" s="181"/>
      <c r="P116" s="182"/>
      <c r="Q116" s="168" t="str">
        <f t="shared" si="16"/>
        <v/>
      </c>
      <c r="R116" s="183" t="str">
        <f t="shared" si="17"/>
        <v/>
      </c>
      <c r="S116" s="184" t="str">
        <f t="shared" si="18"/>
        <v/>
      </c>
      <c r="T116" s="180"/>
      <c r="U116" s="181"/>
      <c r="V116" s="182"/>
      <c r="W116" s="168" t="str">
        <f t="shared" si="19"/>
        <v/>
      </c>
      <c r="X116" s="183" t="str">
        <f t="shared" si="20"/>
        <v/>
      </c>
      <c r="Y116" s="184" t="str">
        <f t="shared" si="21"/>
        <v/>
      </c>
      <c r="Z116" s="185" t="str">
        <f t="shared" si="22"/>
        <v/>
      </c>
      <c r="AA116" s="186" t="str">
        <f t="shared" si="23"/>
        <v/>
      </c>
      <c r="AB116" s="187" t="str">
        <f t="shared" si="24"/>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13"/>
        <v/>
      </c>
      <c r="L117" s="183" t="str">
        <f t="shared" si="14"/>
        <v/>
      </c>
      <c r="M117" s="184" t="str">
        <f t="shared" si="15"/>
        <v/>
      </c>
      <c r="N117" s="180"/>
      <c r="O117" s="181"/>
      <c r="P117" s="182"/>
      <c r="Q117" s="168" t="str">
        <f t="shared" si="16"/>
        <v/>
      </c>
      <c r="R117" s="183" t="str">
        <f t="shared" si="17"/>
        <v/>
      </c>
      <c r="S117" s="184" t="str">
        <f t="shared" si="18"/>
        <v/>
      </c>
      <c r="T117" s="180"/>
      <c r="U117" s="181"/>
      <c r="V117" s="182"/>
      <c r="W117" s="168" t="str">
        <f t="shared" si="19"/>
        <v/>
      </c>
      <c r="X117" s="183" t="str">
        <f t="shared" si="20"/>
        <v/>
      </c>
      <c r="Y117" s="184" t="str">
        <f t="shared" si="21"/>
        <v/>
      </c>
      <c r="Z117" s="185" t="str">
        <f t="shared" si="22"/>
        <v/>
      </c>
      <c r="AA117" s="186" t="str">
        <f t="shared" si="23"/>
        <v/>
      </c>
      <c r="AB117" s="187" t="str">
        <f t="shared" si="24"/>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13"/>
        <v/>
      </c>
      <c r="L118" s="214" t="str">
        <f t="shared" si="14"/>
        <v/>
      </c>
      <c r="M118" s="215" t="str">
        <f t="shared" si="15"/>
        <v/>
      </c>
      <c r="N118" s="190"/>
      <c r="O118" s="191"/>
      <c r="P118" s="192"/>
      <c r="Q118" s="213" t="str">
        <f t="shared" si="16"/>
        <v/>
      </c>
      <c r="R118" s="214" t="str">
        <f t="shared" si="17"/>
        <v/>
      </c>
      <c r="S118" s="215" t="str">
        <f t="shared" si="18"/>
        <v/>
      </c>
      <c r="T118" s="190"/>
      <c r="U118" s="191"/>
      <c r="V118" s="192"/>
      <c r="W118" s="213" t="str">
        <f t="shared" si="19"/>
        <v/>
      </c>
      <c r="X118" s="214" t="str">
        <f t="shared" si="20"/>
        <v/>
      </c>
      <c r="Y118" s="215" t="str">
        <f t="shared" si="21"/>
        <v/>
      </c>
      <c r="Z118" s="216" t="str">
        <f t="shared" si="22"/>
        <v/>
      </c>
      <c r="AA118" s="217" t="str">
        <f t="shared" si="23"/>
        <v/>
      </c>
      <c r="AB118" s="218" t="str">
        <f t="shared" si="24"/>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VMFHkiVn54KWawaudPf1BrKV/rhVWwFxjMm7XtgQepFS0cdJCfEeLUTg8Mt6IP21vum3+x/PJZNeFYVb7pK+8Q==" saltValue="0U6UmfWQCXMI88rOqYrV/A=="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T12:AA13"/>
    <mergeCell ref="B10:E14"/>
    <mergeCell ref="N10:P11"/>
    <mergeCell ref="Q10:X11"/>
    <mergeCell ref="Y10:Z11"/>
    <mergeCell ref="AA10:AD11"/>
  </mergeCells>
  <dataValidations count="29">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d Entry" error="The score cannot be greater than the HPS." promptTitle="Score Entry" prompt="Enter learners' raw scores." sqref="U18:U67 U69:U118">
      <formula1>U18&lt;=$U$15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sheetPr>
  <dimension ref="A1:AF120"/>
  <sheetViews>
    <sheetView showGridLines="0" workbookViewId="0">
      <pane ySplit="16" topLeftCell="A17" activePane="bottomLeft" state="frozen"/>
      <selection/>
      <selection pane="bottomLeft" activeCell="U61" sqref="U61"/>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21</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San Jose National High School</v>
      </c>
      <c r="G7" s="51"/>
      <c r="H7" s="51"/>
      <c r="I7" s="51"/>
      <c r="J7" s="51"/>
      <c r="K7" s="51"/>
      <c r="L7" s="51"/>
      <c r="M7" s="51"/>
      <c r="N7" s="51"/>
      <c r="O7" s="51"/>
      <c r="P7" s="51"/>
      <c r="Q7" s="51"/>
      <c r="R7" s="51"/>
      <c r="S7" s="51"/>
      <c r="T7" s="51"/>
      <c r="U7" s="51"/>
      <c r="V7" s="50"/>
      <c r="W7" s="46"/>
      <c r="X7" s="46"/>
      <c r="Y7" s="52" t="s">
        <v>11</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41</v>
      </c>
      <c r="E10" s="128"/>
      <c r="F10" s="129" t="s">
        <v>17</v>
      </c>
      <c r="G10" s="57"/>
      <c r="H10" s="57"/>
      <c r="I10" s="72"/>
      <c r="J10" s="130" t="str">
        <f>IF('INPUT DATA'!E25="","",'INPUT DATA'!E25)</f>
        <v/>
      </c>
      <c r="K10" s="131"/>
      <c r="L10" s="131"/>
      <c r="M10" s="132"/>
      <c r="N10" s="133" t="s">
        <v>23</v>
      </c>
      <c r="P10" s="128"/>
      <c r="Q10" s="130" t="str">
        <f>IF('INPUT DATA'!E23="","",'INPUT DATA'!E23)</f>
        <v/>
      </c>
      <c r="R10" s="98"/>
      <c r="S10" s="98"/>
      <c r="T10" s="98"/>
      <c r="U10" s="98"/>
      <c r="V10" s="98"/>
      <c r="W10" s="98"/>
      <c r="X10" s="134"/>
      <c r="Y10" s="135" t="s">
        <v>15</v>
      </c>
      <c r="AA10" s="130" t="str">
        <f>IF('INPUT DATA'!E24="","",'INPUT DATA'!E24)</f>
        <v>SPS</v>
      </c>
      <c r="AB10" s="98"/>
      <c r="AC10" s="98"/>
      <c r="AD10" s="134"/>
      <c r="AE10" s="46"/>
      <c r="AF10" s="123"/>
    </row>
    <row r="11" ht="14.4" customHeight="1" spans="1:32">
      <c r="A11" s="46"/>
      <c r="B11" s="136"/>
      <c r="E11" s="128"/>
      <c r="F11" s="58" t="s">
        <v>18</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24</v>
      </c>
      <c r="G12" s="64"/>
      <c r="H12" s="64"/>
      <c r="I12" s="64"/>
      <c r="J12" s="64"/>
      <c r="K12" s="64"/>
      <c r="L12" s="64"/>
      <c r="M12" s="139"/>
      <c r="N12" s="140" t="s">
        <v>25</v>
      </c>
      <c r="O12" s="64"/>
      <c r="P12" s="64"/>
      <c r="Q12" s="64"/>
      <c r="R12" s="64"/>
      <c r="S12" s="139"/>
      <c r="T12" s="140" t="s">
        <v>26</v>
      </c>
      <c r="U12" s="64"/>
      <c r="V12" s="64"/>
      <c r="W12" s="64"/>
      <c r="X12" s="64"/>
      <c r="Y12" s="64"/>
      <c r="Z12" s="64"/>
      <c r="AA12" s="139"/>
      <c r="AB12" s="140" t="s">
        <v>27</v>
      </c>
      <c r="AC12" s="140" t="s">
        <v>28</v>
      </c>
      <c r="AD12" s="140" t="s">
        <v>29</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30</v>
      </c>
      <c r="L14" s="145" t="s">
        <v>31</v>
      </c>
      <c r="M14" s="145" t="s">
        <v>32</v>
      </c>
      <c r="N14" s="142">
        <v>1</v>
      </c>
      <c r="O14" s="143">
        <v>2</v>
      </c>
      <c r="P14" s="144">
        <v>3</v>
      </c>
      <c r="Q14" s="145" t="s">
        <v>30</v>
      </c>
      <c r="R14" s="145" t="s">
        <v>31</v>
      </c>
      <c r="S14" s="145" t="s">
        <v>32</v>
      </c>
      <c r="T14" s="142" t="s">
        <v>33</v>
      </c>
      <c r="U14" s="143" t="s">
        <v>34</v>
      </c>
      <c r="V14" s="144" t="s">
        <v>35</v>
      </c>
      <c r="W14" s="146" t="s">
        <v>36</v>
      </c>
      <c r="X14" s="147" t="s">
        <v>37</v>
      </c>
      <c r="Y14" s="148" t="s">
        <v>38</v>
      </c>
      <c r="Z14" s="145" t="s">
        <v>31</v>
      </c>
      <c r="AA14" s="145" t="s">
        <v>32</v>
      </c>
      <c r="AB14" s="141"/>
      <c r="AC14" s="141"/>
      <c r="AD14" s="141"/>
      <c r="AE14" s="46"/>
      <c r="AF14" s="123"/>
    </row>
    <row r="15" ht="14.4" customHeight="1" spans="1:32">
      <c r="A15" s="46"/>
      <c r="B15" s="149" t="s">
        <v>39</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49" si="1">IF(COUNT(F18:J18)=0,"",IFERROR(K18/$K$15*$L$15,""))</f>
        <v/>
      </c>
      <c r="M18" s="170" t="str">
        <f t="shared" ref="M18:M49" si="2">IF(L18="","",L18*$M$15)</f>
        <v/>
      </c>
      <c r="N18" s="165"/>
      <c r="O18" s="166"/>
      <c r="P18" s="167"/>
      <c r="Q18" s="171" t="str">
        <f t="shared" ref="Q18:Q49" si="3">IF(COUNT(N18:P18)=0,"",SUM(N18:P18))</f>
        <v/>
      </c>
      <c r="R18" s="169" t="str">
        <f t="shared" ref="R18:R49" si="4">IF(COUNT(N18:P18)=0,"",IFERROR(Q18/$Q$15*$R$15,""))</f>
        <v/>
      </c>
      <c r="S18" s="170" t="str">
        <f t="shared" ref="S18:S49" si="5">IF(R18="","",R18*$S$15)</f>
        <v/>
      </c>
      <c r="T18" s="165"/>
      <c r="U18" s="166"/>
      <c r="V18" s="167"/>
      <c r="W18" s="172" t="str">
        <f t="shared" ref="W18:W49" si="6">IF(T18="","",IFERROR(T18/$T$15*$W$15,""))</f>
        <v/>
      </c>
      <c r="X18" s="173" t="str">
        <f t="shared" ref="X18:X49" si="7">IF(U18="","",IFERROR(U18/$U$15*$X$15,""))</f>
        <v/>
      </c>
      <c r="Y18" s="174" t="str">
        <f t="shared" ref="Y18:Y49" si="8">IF(V18="","",IFERROR(V18/$V$15*$Y$15,""))</f>
        <v/>
      </c>
      <c r="Z18" s="175" t="str">
        <f t="shared" ref="Z18:Z49" si="9">IF(COUNT(T18:V18)=0,"",SUM(W18:Y18))</f>
        <v/>
      </c>
      <c r="AA18" s="176" t="str">
        <f t="shared" ref="AA18:AA49" si="10">IF(Z18="","",Z18*$AA$15)</f>
        <v/>
      </c>
      <c r="AB18" s="177" t="str">
        <f t="shared" ref="AB18:AB49"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ref="L50:L67" si="13">IF(COUNT(F50:J50)=0,"",IFERROR(K50/$K$15*$L$15,""))</f>
        <v/>
      </c>
      <c r="M50" s="184" t="str">
        <f t="shared" ref="M50:M67" si="14">IF(L50="","",L50*$M$15)</f>
        <v/>
      </c>
      <c r="N50" s="180"/>
      <c r="O50" s="181"/>
      <c r="P50" s="182"/>
      <c r="Q50" s="168" t="str">
        <f t="shared" ref="Q50:Q67" si="15">IF(COUNT(N50:P50)=0,"",SUM(N50:P50))</f>
        <v/>
      </c>
      <c r="R50" s="183" t="str">
        <f t="shared" ref="R50:R67" si="16">IF(COUNT(N50:P50)=0,"",IFERROR(Q50/$Q$15*$R$15,""))</f>
        <v/>
      </c>
      <c r="S50" s="184" t="str">
        <f t="shared" ref="S50:S67" si="17">IF(R50="","",R50*$S$15)</f>
        <v/>
      </c>
      <c r="T50" s="180"/>
      <c r="U50" s="181"/>
      <c r="V50" s="182"/>
      <c r="W50" s="168" t="str">
        <f t="shared" ref="W50:W67" si="18">IF(T50="","",IFERROR(T50/$T$15*$W$15,""))</f>
        <v/>
      </c>
      <c r="X50" s="183" t="str">
        <f t="shared" ref="X50:X67" si="19">IF(U50="","",IFERROR(U50/$U$15*$X$15,""))</f>
        <v/>
      </c>
      <c r="Y50" s="184" t="str">
        <f t="shared" ref="Y50:Y67" si="20">IF(V50="","",IFERROR(V50/$V$15*$Y$15,""))</f>
        <v/>
      </c>
      <c r="Z50" s="185" t="str">
        <f t="shared" ref="Z50:Z67" si="21">IF(COUNT(T50:V50)=0,"",SUM(W50:Y50))</f>
        <v/>
      </c>
      <c r="AA50" s="186" t="str">
        <f t="shared" ref="AA50:AA67" si="22">IF(Z50="","",Z50*$AA$15)</f>
        <v/>
      </c>
      <c r="AB50" s="187" t="str">
        <f t="shared" ref="AB50:AB67" si="23">IF(COUNT(F50:J50,N50:P50,T50:V50)=0,"",SUM(M50,S50,AA50))</f>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3"/>
        <v/>
      </c>
      <c r="M51" s="184" t="str">
        <f t="shared" si="14"/>
        <v/>
      </c>
      <c r="N51" s="180"/>
      <c r="O51" s="181"/>
      <c r="P51" s="182"/>
      <c r="Q51" s="168" t="str">
        <f t="shared" si="15"/>
        <v/>
      </c>
      <c r="R51" s="183" t="str">
        <f t="shared" si="16"/>
        <v/>
      </c>
      <c r="S51" s="184" t="str">
        <f t="shared" si="17"/>
        <v/>
      </c>
      <c r="T51" s="180"/>
      <c r="U51" s="181"/>
      <c r="V51" s="182"/>
      <c r="W51" s="168" t="str">
        <f t="shared" si="18"/>
        <v/>
      </c>
      <c r="X51" s="183" t="str">
        <f t="shared" si="19"/>
        <v/>
      </c>
      <c r="Y51" s="184" t="str">
        <f t="shared" si="20"/>
        <v/>
      </c>
      <c r="Z51" s="185" t="str">
        <f t="shared" si="21"/>
        <v/>
      </c>
      <c r="AA51" s="186" t="str">
        <f t="shared" si="22"/>
        <v/>
      </c>
      <c r="AB51" s="187" t="str">
        <f t="shared" si="23"/>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3"/>
        <v/>
      </c>
      <c r="M52" s="184" t="str">
        <f t="shared" si="14"/>
        <v/>
      </c>
      <c r="N52" s="180"/>
      <c r="O52" s="181"/>
      <c r="P52" s="182"/>
      <c r="Q52" s="168" t="str">
        <f t="shared" si="15"/>
        <v/>
      </c>
      <c r="R52" s="183" t="str">
        <f t="shared" si="16"/>
        <v/>
      </c>
      <c r="S52" s="184" t="str">
        <f t="shared" si="17"/>
        <v/>
      </c>
      <c r="T52" s="180"/>
      <c r="U52" s="181"/>
      <c r="V52" s="182"/>
      <c r="W52" s="168" t="str">
        <f t="shared" si="18"/>
        <v/>
      </c>
      <c r="X52" s="183" t="str">
        <f t="shared" si="19"/>
        <v/>
      </c>
      <c r="Y52" s="184" t="str">
        <f t="shared" si="20"/>
        <v/>
      </c>
      <c r="Z52" s="185" t="str">
        <f t="shared" si="21"/>
        <v/>
      </c>
      <c r="AA52" s="186" t="str">
        <f t="shared" si="22"/>
        <v/>
      </c>
      <c r="AB52" s="187" t="str">
        <f t="shared" si="23"/>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3"/>
        <v/>
      </c>
      <c r="M53" s="184" t="str">
        <f t="shared" si="14"/>
        <v/>
      </c>
      <c r="N53" s="180"/>
      <c r="O53" s="181"/>
      <c r="P53" s="182"/>
      <c r="Q53" s="168" t="str">
        <f t="shared" si="15"/>
        <v/>
      </c>
      <c r="R53" s="183" t="str">
        <f t="shared" si="16"/>
        <v/>
      </c>
      <c r="S53" s="184" t="str">
        <f t="shared" si="17"/>
        <v/>
      </c>
      <c r="T53" s="180"/>
      <c r="U53" s="181"/>
      <c r="V53" s="182"/>
      <c r="W53" s="168" t="str">
        <f t="shared" si="18"/>
        <v/>
      </c>
      <c r="X53" s="183" t="str">
        <f t="shared" si="19"/>
        <v/>
      </c>
      <c r="Y53" s="184" t="str">
        <f t="shared" si="20"/>
        <v/>
      </c>
      <c r="Z53" s="185" t="str">
        <f t="shared" si="21"/>
        <v/>
      </c>
      <c r="AA53" s="186" t="str">
        <f t="shared" si="22"/>
        <v/>
      </c>
      <c r="AB53" s="187" t="str">
        <f t="shared" si="23"/>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3"/>
        <v/>
      </c>
      <c r="M54" s="184" t="str">
        <f t="shared" si="14"/>
        <v/>
      </c>
      <c r="N54" s="180"/>
      <c r="O54" s="181"/>
      <c r="P54" s="182"/>
      <c r="Q54" s="168" t="str">
        <f t="shared" si="15"/>
        <v/>
      </c>
      <c r="R54" s="183" t="str">
        <f t="shared" si="16"/>
        <v/>
      </c>
      <c r="S54" s="184" t="str">
        <f t="shared" si="17"/>
        <v/>
      </c>
      <c r="T54" s="180"/>
      <c r="U54" s="181"/>
      <c r="V54" s="182"/>
      <c r="W54" s="168" t="str">
        <f t="shared" si="18"/>
        <v/>
      </c>
      <c r="X54" s="183" t="str">
        <f t="shared" si="19"/>
        <v/>
      </c>
      <c r="Y54" s="184" t="str">
        <f t="shared" si="20"/>
        <v/>
      </c>
      <c r="Z54" s="185" t="str">
        <f t="shared" si="21"/>
        <v/>
      </c>
      <c r="AA54" s="186" t="str">
        <f t="shared" si="22"/>
        <v/>
      </c>
      <c r="AB54" s="187" t="str">
        <f t="shared" si="23"/>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3"/>
        <v/>
      </c>
      <c r="M55" s="184" t="str">
        <f t="shared" si="14"/>
        <v/>
      </c>
      <c r="N55" s="180"/>
      <c r="O55" s="181"/>
      <c r="P55" s="182"/>
      <c r="Q55" s="168" t="str">
        <f t="shared" si="15"/>
        <v/>
      </c>
      <c r="R55" s="183" t="str">
        <f t="shared" si="16"/>
        <v/>
      </c>
      <c r="S55" s="184" t="str">
        <f t="shared" si="17"/>
        <v/>
      </c>
      <c r="T55" s="180"/>
      <c r="U55" s="181"/>
      <c r="V55" s="182"/>
      <c r="W55" s="168" t="str">
        <f t="shared" si="18"/>
        <v/>
      </c>
      <c r="X55" s="183" t="str">
        <f t="shared" si="19"/>
        <v/>
      </c>
      <c r="Y55" s="184" t="str">
        <f t="shared" si="20"/>
        <v/>
      </c>
      <c r="Z55" s="185" t="str">
        <f t="shared" si="21"/>
        <v/>
      </c>
      <c r="AA55" s="186" t="str">
        <f t="shared" si="22"/>
        <v/>
      </c>
      <c r="AB55" s="187" t="str">
        <f t="shared" si="23"/>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3"/>
        <v/>
      </c>
      <c r="M56" s="184" t="str">
        <f t="shared" si="14"/>
        <v/>
      </c>
      <c r="N56" s="180"/>
      <c r="O56" s="181"/>
      <c r="P56" s="182"/>
      <c r="Q56" s="168" t="str">
        <f t="shared" si="15"/>
        <v/>
      </c>
      <c r="R56" s="183" t="str">
        <f t="shared" si="16"/>
        <v/>
      </c>
      <c r="S56" s="184" t="str">
        <f t="shared" si="17"/>
        <v/>
      </c>
      <c r="T56" s="180"/>
      <c r="U56" s="181"/>
      <c r="V56" s="182"/>
      <c r="W56" s="168" t="str">
        <f t="shared" si="18"/>
        <v/>
      </c>
      <c r="X56" s="183" t="str">
        <f t="shared" si="19"/>
        <v/>
      </c>
      <c r="Y56" s="184" t="str">
        <f t="shared" si="20"/>
        <v/>
      </c>
      <c r="Z56" s="185" t="str">
        <f t="shared" si="21"/>
        <v/>
      </c>
      <c r="AA56" s="186" t="str">
        <f t="shared" si="22"/>
        <v/>
      </c>
      <c r="AB56" s="187" t="str">
        <f t="shared" si="23"/>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3"/>
        <v/>
      </c>
      <c r="M57" s="184" t="str">
        <f t="shared" si="14"/>
        <v/>
      </c>
      <c r="N57" s="180"/>
      <c r="O57" s="181"/>
      <c r="P57" s="182"/>
      <c r="Q57" s="168" t="str">
        <f t="shared" si="15"/>
        <v/>
      </c>
      <c r="R57" s="183" t="str">
        <f t="shared" si="16"/>
        <v/>
      </c>
      <c r="S57" s="184" t="str">
        <f t="shared" si="17"/>
        <v/>
      </c>
      <c r="T57" s="180"/>
      <c r="U57" s="181"/>
      <c r="V57" s="182"/>
      <c r="W57" s="168" t="str">
        <f t="shared" si="18"/>
        <v/>
      </c>
      <c r="X57" s="183" t="str">
        <f t="shared" si="19"/>
        <v/>
      </c>
      <c r="Y57" s="184" t="str">
        <f t="shared" si="20"/>
        <v/>
      </c>
      <c r="Z57" s="185" t="str">
        <f t="shared" si="21"/>
        <v/>
      </c>
      <c r="AA57" s="186" t="str">
        <f t="shared" si="22"/>
        <v/>
      </c>
      <c r="AB57" s="187" t="str">
        <f t="shared" si="23"/>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3"/>
        <v/>
      </c>
      <c r="M58" s="184" t="str">
        <f t="shared" si="14"/>
        <v/>
      </c>
      <c r="N58" s="180"/>
      <c r="O58" s="181"/>
      <c r="P58" s="182"/>
      <c r="Q58" s="168" t="str">
        <f t="shared" si="15"/>
        <v/>
      </c>
      <c r="R58" s="183" t="str">
        <f t="shared" si="16"/>
        <v/>
      </c>
      <c r="S58" s="184" t="str">
        <f t="shared" si="17"/>
        <v/>
      </c>
      <c r="T58" s="180"/>
      <c r="U58" s="181"/>
      <c r="V58" s="182"/>
      <c r="W58" s="168" t="str">
        <f t="shared" si="18"/>
        <v/>
      </c>
      <c r="X58" s="183" t="str">
        <f t="shared" si="19"/>
        <v/>
      </c>
      <c r="Y58" s="184" t="str">
        <f t="shared" si="20"/>
        <v/>
      </c>
      <c r="Z58" s="185" t="str">
        <f t="shared" si="21"/>
        <v/>
      </c>
      <c r="AA58" s="186" t="str">
        <f t="shared" si="22"/>
        <v/>
      </c>
      <c r="AB58" s="187" t="str">
        <f t="shared" si="23"/>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3"/>
        <v/>
      </c>
      <c r="M59" s="184" t="str">
        <f t="shared" si="14"/>
        <v/>
      </c>
      <c r="N59" s="180"/>
      <c r="O59" s="181"/>
      <c r="P59" s="182"/>
      <c r="Q59" s="168" t="str">
        <f t="shared" si="15"/>
        <v/>
      </c>
      <c r="R59" s="183" t="str">
        <f t="shared" si="16"/>
        <v/>
      </c>
      <c r="S59" s="184" t="str">
        <f t="shared" si="17"/>
        <v/>
      </c>
      <c r="T59" s="180"/>
      <c r="U59" s="181"/>
      <c r="V59" s="182"/>
      <c r="W59" s="168" t="str">
        <f t="shared" si="18"/>
        <v/>
      </c>
      <c r="X59" s="183" t="str">
        <f t="shared" si="19"/>
        <v/>
      </c>
      <c r="Y59" s="184" t="str">
        <f t="shared" si="20"/>
        <v/>
      </c>
      <c r="Z59" s="185" t="str">
        <f t="shared" si="21"/>
        <v/>
      </c>
      <c r="AA59" s="186" t="str">
        <f t="shared" si="22"/>
        <v/>
      </c>
      <c r="AB59" s="187" t="str">
        <f t="shared" si="23"/>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3"/>
        <v/>
      </c>
      <c r="M60" s="184" t="str">
        <f t="shared" si="14"/>
        <v/>
      </c>
      <c r="N60" s="180"/>
      <c r="O60" s="181"/>
      <c r="P60" s="182"/>
      <c r="Q60" s="168" t="str">
        <f t="shared" si="15"/>
        <v/>
      </c>
      <c r="R60" s="183" t="str">
        <f t="shared" si="16"/>
        <v/>
      </c>
      <c r="S60" s="184" t="str">
        <f t="shared" si="17"/>
        <v/>
      </c>
      <c r="T60" s="180"/>
      <c r="U60" s="181"/>
      <c r="V60" s="182"/>
      <c r="W60" s="168" t="str">
        <f t="shared" si="18"/>
        <v/>
      </c>
      <c r="X60" s="183" t="str">
        <f t="shared" si="19"/>
        <v/>
      </c>
      <c r="Y60" s="184" t="str">
        <f t="shared" si="20"/>
        <v/>
      </c>
      <c r="Z60" s="185" t="str">
        <f t="shared" si="21"/>
        <v/>
      </c>
      <c r="AA60" s="186" t="str">
        <f t="shared" si="22"/>
        <v/>
      </c>
      <c r="AB60" s="187" t="str">
        <f t="shared" si="23"/>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3"/>
        <v/>
      </c>
      <c r="M61" s="184" t="str">
        <f t="shared" si="14"/>
        <v/>
      </c>
      <c r="N61" s="180"/>
      <c r="O61" s="181"/>
      <c r="P61" s="182"/>
      <c r="Q61" s="168" t="str">
        <f t="shared" si="15"/>
        <v/>
      </c>
      <c r="R61" s="183" t="str">
        <f t="shared" si="16"/>
        <v/>
      </c>
      <c r="S61" s="184" t="str">
        <f t="shared" si="17"/>
        <v/>
      </c>
      <c r="T61" s="180"/>
      <c r="U61" s="181"/>
      <c r="V61" s="182"/>
      <c r="W61" s="168" t="str">
        <f t="shared" si="18"/>
        <v/>
      </c>
      <c r="X61" s="183" t="str">
        <f t="shared" si="19"/>
        <v/>
      </c>
      <c r="Y61" s="184" t="str">
        <f t="shared" si="20"/>
        <v/>
      </c>
      <c r="Z61" s="185" t="str">
        <f t="shared" si="21"/>
        <v/>
      </c>
      <c r="AA61" s="186" t="str">
        <f t="shared" si="22"/>
        <v/>
      </c>
      <c r="AB61" s="187" t="str">
        <f t="shared" si="23"/>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3"/>
        <v/>
      </c>
      <c r="M62" s="184" t="str">
        <f t="shared" si="14"/>
        <v/>
      </c>
      <c r="N62" s="180"/>
      <c r="O62" s="181"/>
      <c r="P62" s="182"/>
      <c r="Q62" s="168" t="str">
        <f t="shared" si="15"/>
        <v/>
      </c>
      <c r="R62" s="183" t="str">
        <f t="shared" si="16"/>
        <v/>
      </c>
      <c r="S62" s="184" t="str">
        <f t="shared" si="17"/>
        <v/>
      </c>
      <c r="T62" s="180"/>
      <c r="U62" s="181"/>
      <c r="V62" s="182"/>
      <c r="W62" s="168" t="str">
        <f t="shared" si="18"/>
        <v/>
      </c>
      <c r="X62" s="183" t="str">
        <f t="shared" si="19"/>
        <v/>
      </c>
      <c r="Y62" s="184" t="str">
        <f t="shared" si="20"/>
        <v/>
      </c>
      <c r="Z62" s="185" t="str">
        <f t="shared" si="21"/>
        <v/>
      </c>
      <c r="AA62" s="186" t="str">
        <f t="shared" si="22"/>
        <v/>
      </c>
      <c r="AB62" s="187" t="str">
        <f t="shared" si="23"/>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3"/>
        <v/>
      </c>
      <c r="M63" s="184" t="str">
        <f t="shared" si="14"/>
        <v/>
      </c>
      <c r="N63" s="180"/>
      <c r="O63" s="181"/>
      <c r="P63" s="182"/>
      <c r="Q63" s="168" t="str">
        <f t="shared" si="15"/>
        <v/>
      </c>
      <c r="R63" s="183" t="str">
        <f t="shared" si="16"/>
        <v/>
      </c>
      <c r="S63" s="184" t="str">
        <f t="shared" si="17"/>
        <v/>
      </c>
      <c r="T63" s="180"/>
      <c r="U63" s="181"/>
      <c r="V63" s="182"/>
      <c r="W63" s="168" t="str">
        <f t="shared" si="18"/>
        <v/>
      </c>
      <c r="X63" s="183" t="str">
        <f t="shared" si="19"/>
        <v/>
      </c>
      <c r="Y63" s="184" t="str">
        <f t="shared" si="20"/>
        <v/>
      </c>
      <c r="Z63" s="185" t="str">
        <f t="shared" si="21"/>
        <v/>
      </c>
      <c r="AA63" s="186" t="str">
        <f t="shared" si="22"/>
        <v/>
      </c>
      <c r="AB63" s="187" t="str">
        <f t="shared" si="23"/>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3"/>
        <v/>
      </c>
      <c r="M64" s="184" t="str">
        <f t="shared" si="14"/>
        <v/>
      </c>
      <c r="N64" s="180"/>
      <c r="O64" s="181"/>
      <c r="P64" s="182"/>
      <c r="Q64" s="168" t="str">
        <f t="shared" si="15"/>
        <v/>
      </c>
      <c r="R64" s="183" t="str">
        <f t="shared" si="16"/>
        <v/>
      </c>
      <c r="S64" s="184" t="str">
        <f t="shared" si="17"/>
        <v/>
      </c>
      <c r="T64" s="180"/>
      <c r="U64" s="181"/>
      <c r="V64" s="182"/>
      <c r="W64" s="168" t="str">
        <f t="shared" si="18"/>
        <v/>
      </c>
      <c r="X64" s="183" t="str">
        <f t="shared" si="19"/>
        <v/>
      </c>
      <c r="Y64" s="184" t="str">
        <f t="shared" si="20"/>
        <v/>
      </c>
      <c r="Z64" s="185" t="str">
        <f t="shared" si="21"/>
        <v/>
      </c>
      <c r="AA64" s="186" t="str">
        <f t="shared" si="22"/>
        <v/>
      </c>
      <c r="AB64" s="187" t="str">
        <f t="shared" si="23"/>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3"/>
        <v/>
      </c>
      <c r="M65" s="184" t="str">
        <f t="shared" si="14"/>
        <v/>
      </c>
      <c r="N65" s="180"/>
      <c r="O65" s="181"/>
      <c r="P65" s="182"/>
      <c r="Q65" s="168" t="str">
        <f t="shared" si="15"/>
        <v/>
      </c>
      <c r="R65" s="183" t="str">
        <f t="shared" si="16"/>
        <v/>
      </c>
      <c r="S65" s="184" t="str">
        <f t="shared" si="17"/>
        <v/>
      </c>
      <c r="T65" s="180"/>
      <c r="U65" s="181"/>
      <c r="V65" s="182"/>
      <c r="W65" s="168" t="str">
        <f t="shared" si="18"/>
        <v/>
      </c>
      <c r="X65" s="183" t="str">
        <f t="shared" si="19"/>
        <v/>
      </c>
      <c r="Y65" s="184" t="str">
        <f t="shared" si="20"/>
        <v/>
      </c>
      <c r="Z65" s="185" t="str">
        <f t="shared" si="21"/>
        <v/>
      </c>
      <c r="AA65" s="186" t="str">
        <f t="shared" si="22"/>
        <v/>
      </c>
      <c r="AB65" s="187" t="str">
        <f t="shared" si="23"/>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3"/>
        <v/>
      </c>
      <c r="M66" s="184" t="str">
        <f t="shared" si="14"/>
        <v/>
      </c>
      <c r="N66" s="180"/>
      <c r="O66" s="181"/>
      <c r="P66" s="182"/>
      <c r="Q66" s="168" t="str">
        <f t="shared" si="15"/>
        <v/>
      </c>
      <c r="R66" s="183" t="str">
        <f t="shared" si="16"/>
        <v/>
      </c>
      <c r="S66" s="184" t="str">
        <f t="shared" si="17"/>
        <v/>
      </c>
      <c r="T66" s="180"/>
      <c r="U66" s="181"/>
      <c r="V66" s="182"/>
      <c r="W66" s="168" t="str">
        <f t="shared" si="18"/>
        <v/>
      </c>
      <c r="X66" s="183" t="str">
        <f t="shared" si="19"/>
        <v/>
      </c>
      <c r="Y66" s="184" t="str">
        <f t="shared" si="20"/>
        <v/>
      </c>
      <c r="Z66" s="185" t="str">
        <f t="shared" si="21"/>
        <v/>
      </c>
      <c r="AA66" s="186" t="str">
        <f t="shared" si="22"/>
        <v/>
      </c>
      <c r="AB66" s="187" t="str">
        <f t="shared" si="23"/>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3"/>
        <v/>
      </c>
      <c r="M67" s="184" t="str">
        <f t="shared" si="14"/>
        <v/>
      </c>
      <c r="N67" s="190"/>
      <c r="O67" s="191"/>
      <c r="P67" s="192"/>
      <c r="Q67" s="168" t="str">
        <f t="shared" si="15"/>
        <v/>
      </c>
      <c r="R67" s="183" t="str">
        <f t="shared" si="16"/>
        <v/>
      </c>
      <c r="S67" s="184" t="str">
        <f t="shared" si="17"/>
        <v/>
      </c>
      <c r="T67" s="190"/>
      <c r="U67" s="191"/>
      <c r="V67" s="192"/>
      <c r="W67" s="168" t="str">
        <f t="shared" si="18"/>
        <v/>
      </c>
      <c r="X67" s="183" t="str">
        <f t="shared" si="19"/>
        <v/>
      </c>
      <c r="Y67" s="184" t="str">
        <f t="shared" si="20"/>
        <v/>
      </c>
      <c r="Z67" s="185" t="str">
        <f t="shared" si="21"/>
        <v/>
      </c>
      <c r="AA67" s="186" t="str">
        <f t="shared" si="22"/>
        <v/>
      </c>
      <c r="AB67" s="187" t="str">
        <f t="shared" si="23"/>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00" si="24">IF(COUNT($F69:$J69)=0,"",SUM($F69:$J69))</f>
        <v/>
      </c>
      <c r="L69" s="198" t="str">
        <f t="shared" ref="L69:L100" si="25">IF(COUNT(F69:J69)=0,"",IFERROR(K69/$K$15*$L$15,""))</f>
        <v/>
      </c>
      <c r="M69" s="199" t="str">
        <f t="shared" ref="M69:M100" si="26">IF(L69="","",L69*$M$15)</f>
        <v/>
      </c>
      <c r="N69" s="165"/>
      <c r="O69" s="166"/>
      <c r="P69" s="167"/>
      <c r="Q69" s="197" t="str">
        <f t="shared" ref="Q69:Q100" si="27">IF(COUNT(N69:P69)=0,"",SUM(N69:P69))</f>
        <v/>
      </c>
      <c r="R69" s="198" t="str">
        <f t="shared" ref="R69:R100" si="28">IF(COUNT(N69:P69)=0,"",IFERROR(Q69/$Q$15*$R$15,""))</f>
        <v/>
      </c>
      <c r="S69" s="199" t="str">
        <f t="shared" ref="S69:S100" si="29">IF(R69="","",R69*$S$15)</f>
        <v/>
      </c>
      <c r="T69" s="165"/>
      <c r="U69" s="166"/>
      <c r="V69" s="167"/>
      <c r="W69" s="197" t="str">
        <f t="shared" ref="W69:W100" si="30">IF(T69="","",IFERROR(T69/$T$15*$W$15,""))</f>
        <v/>
      </c>
      <c r="X69" s="198" t="str">
        <f t="shared" ref="X69:X100" si="31">IF(U69="","",IFERROR(U69/$U$15*$X$15,""))</f>
        <v/>
      </c>
      <c r="Y69" s="199" t="str">
        <f t="shared" ref="Y69:Y100" si="32">IF(V69="","",IFERROR(V69/$V$15*$Y$15,""))</f>
        <v/>
      </c>
      <c r="Z69" s="200" t="str">
        <f t="shared" ref="Z69:Z100" si="33">IF(COUNT(T69:V69)=0,"",SUM(W69:Y69))</f>
        <v/>
      </c>
      <c r="AA69" s="201" t="str">
        <f t="shared" ref="AA69:AA100" si="34">IF(Z69="","",Z69*$AA$15)</f>
        <v/>
      </c>
      <c r="AB69" s="202" t="str">
        <f t="shared" ref="AB69:AB100" si="35">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24"/>
        <v/>
      </c>
      <c r="L70" s="183" t="str">
        <f t="shared" si="25"/>
        <v/>
      </c>
      <c r="M70" s="184" t="str">
        <f t="shared" si="26"/>
        <v/>
      </c>
      <c r="N70" s="180"/>
      <c r="O70" s="181"/>
      <c r="P70" s="182"/>
      <c r="Q70" s="168" t="str">
        <f t="shared" si="27"/>
        <v/>
      </c>
      <c r="R70" s="183" t="str">
        <f t="shared" si="28"/>
        <v/>
      </c>
      <c r="S70" s="184" t="str">
        <f t="shared" si="29"/>
        <v/>
      </c>
      <c r="T70" s="180"/>
      <c r="U70" s="181"/>
      <c r="V70" s="182"/>
      <c r="W70" s="168" t="str">
        <f t="shared" si="30"/>
        <v/>
      </c>
      <c r="X70" s="183" t="str">
        <f t="shared" si="31"/>
        <v/>
      </c>
      <c r="Y70" s="184" t="str">
        <f t="shared" si="32"/>
        <v/>
      </c>
      <c r="Z70" s="185" t="str">
        <f t="shared" si="33"/>
        <v/>
      </c>
      <c r="AA70" s="186" t="str">
        <f t="shared" si="34"/>
        <v/>
      </c>
      <c r="AB70" s="187" t="str">
        <f t="shared" si="35"/>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24"/>
        <v/>
      </c>
      <c r="L71" s="183" t="str">
        <f t="shared" si="25"/>
        <v/>
      </c>
      <c r="M71" s="184" t="str">
        <f t="shared" si="26"/>
        <v/>
      </c>
      <c r="N71" s="180"/>
      <c r="O71" s="181"/>
      <c r="P71" s="182"/>
      <c r="Q71" s="168" t="str">
        <f t="shared" si="27"/>
        <v/>
      </c>
      <c r="R71" s="183" t="str">
        <f t="shared" si="28"/>
        <v/>
      </c>
      <c r="S71" s="184" t="str">
        <f t="shared" si="29"/>
        <v/>
      </c>
      <c r="T71" s="180"/>
      <c r="U71" s="181"/>
      <c r="V71" s="182"/>
      <c r="W71" s="168" t="str">
        <f t="shared" si="30"/>
        <v/>
      </c>
      <c r="X71" s="183" t="str">
        <f t="shared" si="31"/>
        <v/>
      </c>
      <c r="Y71" s="184" t="str">
        <f t="shared" si="32"/>
        <v/>
      </c>
      <c r="Z71" s="185" t="str">
        <f t="shared" si="33"/>
        <v/>
      </c>
      <c r="AA71" s="186" t="str">
        <f t="shared" si="34"/>
        <v/>
      </c>
      <c r="AB71" s="187" t="str">
        <f t="shared" si="35"/>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24"/>
        <v/>
      </c>
      <c r="L72" s="183" t="str">
        <f t="shared" si="25"/>
        <v/>
      </c>
      <c r="M72" s="184" t="str">
        <f t="shared" si="26"/>
        <v/>
      </c>
      <c r="N72" s="180"/>
      <c r="O72" s="181"/>
      <c r="P72" s="182"/>
      <c r="Q72" s="168" t="str">
        <f t="shared" si="27"/>
        <v/>
      </c>
      <c r="R72" s="183" t="str">
        <f t="shared" si="28"/>
        <v/>
      </c>
      <c r="S72" s="184" t="str">
        <f t="shared" si="29"/>
        <v/>
      </c>
      <c r="T72" s="180"/>
      <c r="U72" s="181"/>
      <c r="V72" s="182"/>
      <c r="W72" s="168" t="str">
        <f t="shared" si="30"/>
        <v/>
      </c>
      <c r="X72" s="183" t="str">
        <f t="shared" si="31"/>
        <v/>
      </c>
      <c r="Y72" s="184" t="str">
        <f t="shared" si="32"/>
        <v/>
      </c>
      <c r="Z72" s="185" t="str">
        <f t="shared" si="33"/>
        <v/>
      </c>
      <c r="AA72" s="186" t="str">
        <f t="shared" si="34"/>
        <v/>
      </c>
      <c r="AB72" s="187" t="str">
        <f t="shared" si="35"/>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24"/>
        <v/>
      </c>
      <c r="L73" s="183" t="str">
        <f t="shared" si="25"/>
        <v/>
      </c>
      <c r="M73" s="184" t="str">
        <f t="shared" si="26"/>
        <v/>
      </c>
      <c r="N73" s="180"/>
      <c r="O73" s="181"/>
      <c r="P73" s="182"/>
      <c r="Q73" s="168" t="str">
        <f t="shared" si="27"/>
        <v/>
      </c>
      <c r="R73" s="183" t="str">
        <f t="shared" si="28"/>
        <v/>
      </c>
      <c r="S73" s="184" t="str">
        <f t="shared" si="29"/>
        <v/>
      </c>
      <c r="T73" s="180"/>
      <c r="U73" s="181"/>
      <c r="V73" s="182"/>
      <c r="W73" s="168" t="str">
        <f t="shared" si="30"/>
        <v/>
      </c>
      <c r="X73" s="183" t="str">
        <f t="shared" si="31"/>
        <v/>
      </c>
      <c r="Y73" s="184" t="str">
        <f t="shared" si="32"/>
        <v/>
      </c>
      <c r="Z73" s="185" t="str">
        <f t="shared" si="33"/>
        <v/>
      </c>
      <c r="AA73" s="186" t="str">
        <f t="shared" si="34"/>
        <v/>
      </c>
      <c r="AB73" s="187" t="str">
        <f t="shared" si="35"/>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24"/>
        <v/>
      </c>
      <c r="L74" s="183" t="str">
        <f t="shared" si="25"/>
        <v/>
      </c>
      <c r="M74" s="184" t="str">
        <f t="shared" si="26"/>
        <v/>
      </c>
      <c r="N74" s="180"/>
      <c r="O74" s="181"/>
      <c r="P74" s="182"/>
      <c r="Q74" s="168" t="str">
        <f t="shared" si="27"/>
        <v/>
      </c>
      <c r="R74" s="183" t="str">
        <f t="shared" si="28"/>
        <v/>
      </c>
      <c r="S74" s="184" t="str">
        <f t="shared" si="29"/>
        <v/>
      </c>
      <c r="T74" s="180"/>
      <c r="U74" s="181"/>
      <c r="V74" s="182"/>
      <c r="W74" s="168" t="str">
        <f t="shared" si="30"/>
        <v/>
      </c>
      <c r="X74" s="183" t="str">
        <f t="shared" si="31"/>
        <v/>
      </c>
      <c r="Y74" s="184" t="str">
        <f t="shared" si="32"/>
        <v/>
      </c>
      <c r="Z74" s="185" t="str">
        <f t="shared" si="33"/>
        <v/>
      </c>
      <c r="AA74" s="186" t="str">
        <f t="shared" si="34"/>
        <v/>
      </c>
      <c r="AB74" s="187" t="str">
        <f t="shared" si="35"/>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24"/>
        <v/>
      </c>
      <c r="L75" s="183" t="str">
        <f t="shared" si="25"/>
        <v/>
      </c>
      <c r="M75" s="184" t="str">
        <f t="shared" si="26"/>
        <v/>
      </c>
      <c r="N75" s="180"/>
      <c r="O75" s="181"/>
      <c r="P75" s="182"/>
      <c r="Q75" s="168" t="str">
        <f t="shared" si="27"/>
        <v/>
      </c>
      <c r="R75" s="183" t="str">
        <f t="shared" si="28"/>
        <v/>
      </c>
      <c r="S75" s="184" t="str">
        <f t="shared" si="29"/>
        <v/>
      </c>
      <c r="T75" s="180"/>
      <c r="U75" s="181"/>
      <c r="V75" s="182"/>
      <c r="W75" s="168" t="str">
        <f t="shared" si="30"/>
        <v/>
      </c>
      <c r="X75" s="183" t="str">
        <f t="shared" si="31"/>
        <v/>
      </c>
      <c r="Y75" s="184" t="str">
        <f t="shared" si="32"/>
        <v/>
      </c>
      <c r="Z75" s="185" t="str">
        <f t="shared" si="33"/>
        <v/>
      </c>
      <c r="AA75" s="186" t="str">
        <f t="shared" si="34"/>
        <v/>
      </c>
      <c r="AB75" s="187" t="str">
        <f t="shared" si="35"/>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24"/>
        <v/>
      </c>
      <c r="L76" s="183" t="str">
        <f t="shared" si="25"/>
        <v/>
      </c>
      <c r="M76" s="184" t="str">
        <f t="shared" si="26"/>
        <v/>
      </c>
      <c r="N76" s="180"/>
      <c r="O76" s="181"/>
      <c r="P76" s="182"/>
      <c r="Q76" s="168" t="str">
        <f t="shared" si="27"/>
        <v/>
      </c>
      <c r="R76" s="183" t="str">
        <f t="shared" si="28"/>
        <v/>
      </c>
      <c r="S76" s="184" t="str">
        <f t="shared" si="29"/>
        <v/>
      </c>
      <c r="T76" s="180"/>
      <c r="U76" s="181"/>
      <c r="V76" s="182"/>
      <c r="W76" s="168" t="str">
        <f t="shared" si="30"/>
        <v/>
      </c>
      <c r="X76" s="183" t="str">
        <f t="shared" si="31"/>
        <v/>
      </c>
      <c r="Y76" s="184" t="str">
        <f t="shared" si="32"/>
        <v/>
      </c>
      <c r="Z76" s="185" t="str">
        <f t="shared" si="33"/>
        <v/>
      </c>
      <c r="AA76" s="186" t="str">
        <f t="shared" si="34"/>
        <v/>
      </c>
      <c r="AB76" s="187" t="str">
        <f t="shared" si="35"/>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24"/>
        <v/>
      </c>
      <c r="L77" s="183" t="str">
        <f t="shared" si="25"/>
        <v/>
      </c>
      <c r="M77" s="184" t="str">
        <f t="shared" si="26"/>
        <v/>
      </c>
      <c r="N77" s="180"/>
      <c r="O77" s="181"/>
      <c r="P77" s="182"/>
      <c r="Q77" s="168" t="str">
        <f t="shared" si="27"/>
        <v/>
      </c>
      <c r="R77" s="183" t="str">
        <f t="shared" si="28"/>
        <v/>
      </c>
      <c r="S77" s="184" t="str">
        <f t="shared" si="29"/>
        <v/>
      </c>
      <c r="T77" s="180"/>
      <c r="U77" s="181"/>
      <c r="V77" s="182"/>
      <c r="W77" s="168" t="str">
        <f t="shared" si="30"/>
        <v/>
      </c>
      <c r="X77" s="183" t="str">
        <f t="shared" si="31"/>
        <v/>
      </c>
      <c r="Y77" s="184" t="str">
        <f t="shared" si="32"/>
        <v/>
      </c>
      <c r="Z77" s="185" t="str">
        <f t="shared" si="33"/>
        <v/>
      </c>
      <c r="AA77" s="186" t="str">
        <f t="shared" si="34"/>
        <v/>
      </c>
      <c r="AB77" s="187" t="str">
        <f t="shared" si="35"/>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24"/>
        <v/>
      </c>
      <c r="L78" s="183" t="str">
        <f t="shared" si="25"/>
        <v/>
      </c>
      <c r="M78" s="184" t="str">
        <f t="shared" si="26"/>
        <v/>
      </c>
      <c r="N78" s="180"/>
      <c r="O78" s="181"/>
      <c r="P78" s="182"/>
      <c r="Q78" s="168" t="str">
        <f t="shared" si="27"/>
        <v/>
      </c>
      <c r="R78" s="183" t="str">
        <f t="shared" si="28"/>
        <v/>
      </c>
      <c r="S78" s="184" t="str">
        <f t="shared" si="29"/>
        <v/>
      </c>
      <c r="T78" s="180"/>
      <c r="U78" s="181"/>
      <c r="V78" s="182"/>
      <c r="W78" s="168" t="str">
        <f t="shared" si="30"/>
        <v/>
      </c>
      <c r="X78" s="183" t="str">
        <f t="shared" si="31"/>
        <v/>
      </c>
      <c r="Y78" s="184" t="str">
        <f t="shared" si="32"/>
        <v/>
      </c>
      <c r="Z78" s="185" t="str">
        <f t="shared" si="33"/>
        <v/>
      </c>
      <c r="AA78" s="186" t="str">
        <f t="shared" si="34"/>
        <v/>
      </c>
      <c r="AB78" s="187" t="str">
        <f t="shared" si="35"/>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24"/>
        <v/>
      </c>
      <c r="L79" s="183" t="str">
        <f t="shared" si="25"/>
        <v/>
      </c>
      <c r="M79" s="184" t="str">
        <f t="shared" si="26"/>
        <v/>
      </c>
      <c r="N79" s="180"/>
      <c r="O79" s="181"/>
      <c r="P79" s="182"/>
      <c r="Q79" s="168" t="str">
        <f t="shared" si="27"/>
        <v/>
      </c>
      <c r="R79" s="183" t="str">
        <f t="shared" si="28"/>
        <v/>
      </c>
      <c r="S79" s="184" t="str">
        <f t="shared" si="29"/>
        <v/>
      </c>
      <c r="T79" s="180"/>
      <c r="U79" s="181"/>
      <c r="V79" s="182"/>
      <c r="W79" s="168" t="str">
        <f t="shared" si="30"/>
        <v/>
      </c>
      <c r="X79" s="183" t="str">
        <f t="shared" si="31"/>
        <v/>
      </c>
      <c r="Y79" s="184" t="str">
        <f t="shared" si="32"/>
        <v/>
      </c>
      <c r="Z79" s="185" t="str">
        <f t="shared" si="33"/>
        <v/>
      </c>
      <c r="AA79" s="186" t="str">
        <f t="shared" si="34"/>
        <v/>
      </c>
      <c r="AB79" s="187" t="str">
        <f t="shared" si="35"/>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24"/>
        <v/>
      </c>
      <c r="L80" s="183" t="str">
        <f t="shared" si="25"/>
        <v/>
      </c>
      <c r="M80" s="184" t="str">
        <f t="shared" si="26"/>
        <v/>
      </c>
      <c r="N80" s="180"/>
      <c r="O80" s="181"/>
      <c r="P80" s="182"/>
      <c r="Q80" s="168" t="str">
        <f t="shared" si="27"/>
        <v/>
      </c>
      <c r="R80" s="183" t="str">
        <f t="shared" si="28"/>
        <v/>
      </c>
      <c r="S80" s="184" t="str">
        <f t="shared" si="29"/>
        <v/>
      </c>
      <c r="T80" s="180"/>
      <c r="U80" s="181"/>
      <c r="V80" s="182"/>
      <c r="W80" s="168" t="str">
        <f t="shared" si="30"/>
        <v/>
      </c>
      <c r="X80" s="183" t="str">
        <f t="shared" si="31"/>
        <v/>
      </c>
      <c r="Y80" s="184" t="str">
        <f t="shared" si="32"/>
        <v/>
      </c>
      <c r="Z80" s="185" t="str">
        <f t="shared" si="33"/>
        <v/>
      </c>
      <c r="AA80" s="186" t="str">
        <f t="shared" si="34"/>
        <v/>
      </c>
      <c r="AB80" s="187" t="str">
        <f t="shared" si="35"/>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24"/>
        <v/>
      </c>
      <c r="L81" s="183" t="str">
        <f t="shared" si="25"/>
        <v/>
      </c>
      <c r="M81" s="184" t="str">
        <f t="shared" si="26"/>
        <v/>
      </c>
      <c r="N81" s="180"/>
      <c r="O81" s="181"/>
      <c r="P81" s="182"/>
      <c r="Q81" s="168" t="str">
        <f t="shared" si="27"/>
        <v/>
      </c>
      <c r="R81" s="183" t="str">
        <f t="shared" si="28"/>
        <v/>
      </c>
      <c r="S81" s="184" t="str">
        <f t="shared" si="29"/>
        <v/>
      </c>
      <c r="T81" s="180"/>
      <c r="U81" s="181"/>
      <c r="V81" s="182"/>
      <c r="W81" s="168" t="str">
        <f t="shared" si="30"/>
        <v/>
      </c>
      <c r="X81" s="183" t="str">
        <f t="shared" si="31"/>
        <v/>
      </c>
      <c r="Y81" s="184" t="str">
        <f t="shared" si="32"/>
        <v/>
      </c>
      <c r="Z81" s="185" t="str">
        <f t="shared" si="33"/>
        <v/>
      </c>
      <c r="AA81" s="186" t="str">
        <f t="shared" si="34"/>
        <v/>
      </c>
      <c r="AB81" s="187" t="str">
        <f t="shared" si="35"/>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24"/>
        <v/>
      </c>
      <c r="L82" s="183" t="str">
        <f t="shared" si="25"/>
        <v/>
      </c>
      <c r="M82" s="184" t="str">
        <f t="shared" si="26"/>
        <v/>
      </c>
      <c r="N82" s="180"/>
      <c r="O82" s="181"/>
      <c r="P82" s="182"/>
      <c r="Q82" s="168" t="str">
        <f t="shared" si="27"/>
        <v/>
      </c>
      <c r="R82" s="183" t="str">
        <f t="shared" si="28"/>
        <v/>
      </c>
      <c r="S82" s="184" t="str">
        <f t="shared" si="29"/>
        <v/>
      </c>
      <c r="T82" s="180"/>
      <c r="U82" s="181"/>
      <c r="V82" s="182"/>
      <c r="W82" s="168" t="str">
        <f t="shared" si="30"/>
        <v/>
      </c>
      <c r="X82" s="183" t="str">
        <f t="shared" si="31"/>
        <v/>
      </c>
      <c r="Y82" s="184" t="str">
        <f t="shared" si="32"/>
        <v/>
      </c>
      <c r="Z82" s="185" t="str">
        <f t="shared" si="33"/>
        <v/>
      </c>
      <c r="AA82" s="186" t="str">
        <f t="shared" si="34"/>
        <v/>
      </c>
      <c r="AB82" s="187" t="str">
        <f t="shared" si="35"/>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24"/>
        <v/>
      </c>
      <c r="L83" s="183" t="str">
        <f t="shared" si="25"/>
        <v/>
      </c>
      <c r="M83" s="184" t="str">
        <f t="shared" si="26"/>
        <v/>
      </c>
      <c r="N83" s="180"/>
      <c r="O83" s="181"/>
      <c r="P83" s="182"/>
      <c r="Q83" s="168" t="str">
        <f t="shared" si="27"/>
        <v/>
      </c>
      <c r="R83" s="183" t="str">
        <f t="shared" si="28"/>
        <v/>
      </c>
      <c r="S83" s="184" t="str">
        <f t="shared" si="29"/>
        <v/>
      </c>
      <c r="T83" s="180"/>
      <c r="U83" s="181"/>
      <c r="V83" s="182"/>
      <c r="W83" s="168" t="str">
        <f t="shared" si="30"/>
        <v/>
      </c>
      <c r="X83" s="183" t="str">
        <f t="shared" si="31"/>
        <v/>
      </c>
      <c r="Y83" s="184" t="str">
        <f t="shared" si="32"/>
        <v/>
      </c>
      <c r="Z83" s="185" t="str">
        <f t="shared" si="33"/>
        <v/>
      </c>
      <c r="AA83" s="186" t="str">
        <f t="shared" si="34"/>
        <v/>
      </c>
      <c r="AB83" s="187" t="str">
        <f t="shared" si="35"/>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24"/>
        <v/>
      </c>
      <c r="L84" s="183" t="str">
        <f t="shared" si="25"/>
        <v/>
      </c>
      <c r="M84" s="184" t="str">
        <f t="shared" si="26"/>
        <v/>
      </c>
      <c r="N84" s="180"/>
      <c r="O84" s="181"/>
      <c r="P84" s="182"/>
      <c r="Q84" s="168" t="str">
        <f t="shared" si="27"/>
        <v/>
      </c>
      <c r="R84" s="183" t="str">
        <f t="shared" si="28"/>
        <v/>
      </c>
      <c r="S84" s="184" t="str">
        <f t="shared" si="29"/>
        <v/>
      </c>
      <c r="T84" s="180"/>
      <c r="U84" s="181"/>
      <c r="V84" s="182"/>
      <c r="W84" s="168" t="str">
        <f t="shared" si="30"/>
        <v/>
      </c>
      <c r="X84" s="183" t="str">
        <f t="shared" si="31"/>
        <v/>
      </c>
      <c r="Y84" s="184" t="str">
        <f t="shared" si="32"/>
        <v/>
      </c>
      <c r="Z84" s="185" t="str">
        <f t="shared" si="33"/>
        <v/>
      </c>
      <c r="AA84" s="186" t="str">
        <f t="shared" si="34"/>
        <v/>
      </c>
      <c r="AB84" s="187" t="str">
        <f t="shared" si="35"/>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24"/>
        <v/>
      </c>
      <c r="L85" s="183" t="str">
        <f t="shared" si="25"/>
        <v/>
      </c>
      <c r="M85" s="184" t="str">
        <f t="shared" si="26"/>
        <v/>
      </c>
      <c r="N85" s="180"/>
      <c r="O85" s="181"/>
      <c r="P85" s="182"/>
      <c r="Q85" s="168" t="str">
        <f t="shared" si="27"/>
        <v/>
      </c>
      <c r="R85" s="183" t="str">
        <f t="shared" si="28"/>
        <v/>
      </c>
      <c r="S85" s="184" t="str">
        <f t="shared" si="29"/>
        <v/>
      </c>
      <c r="T85" s="180"/>
      <c r="U85" s="181"/>
      <c r="V85" s="182"/>
      <c r="W85" s="168" t="str">
        <f t="shared" si="30"/>
        <v/>
      </c>
      <c r="X85" s="183" t="str">
        <f t="shared" si="31"/>
        <v/>
      </c>
      <c r="Y85" s="184" t="str">
        <f t="shared" si="32"/>
        <v/>
      </c>
      <c r="Z85" s="185" t="str">
        <f t="shared" si="33"/>
        <v/>
      </c>
      <c r="AA85" s="186" t="str">
        <f t="shared" si="34"/>
        <v/>
      </c>
      <c r="AB85" s="187" t="str">
        <f t="shared" si="35"/>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24"/>
        <v/>
      </c>
      <c r="L86" s="183" t="str">
        <f t="shared" si="25"/>
        <v/>
      </c>
      <c r="M86" s="184" t="str">
        <f t="shared" si="26"/>
        <v/>
      </c>
      <c r="N86" s="180"/>
      <c r="O86" s="181"/>
      <c r="P86" s="182"/>
      <c r="Q86" s="168" t="str">
        <f t="shared" si="27"/>
        <v/>
      </c>
      <c r="R86" s="183" t="str">
        <f t="shared" si="28"/>
        <v/>
      </c>
      <c r="S86" s="184" t="str">
        <f t="shared" si="29"/>
        <v/>
      </c>
      <c r="T86" s="180"/>
      <c r="U86" s="181"/>
      <c r="V86" s="182"/>
      <c r="W86" s="168" t="str">
        <f t="shared" si="30"/>
        <v/>
      </c>
      <c r="X86" s="183" t="str">
        <f t="shared" si="31"/>
        <v/>
      </c>
      <c r="Y86" s="184" t="str">
        <f t="shared" si="32"/>
        <v/>
      </c>
      <c r="Z86" s="185" t="str">
        <f t="shared" si="33"/>
        <v/>
      </c>
      <c r="AA86" s="186" t="str">
        <f t="shared" si="34"/>
        <v/>
      </c>
      <c r="AB86" s="187" t="str">
        <f t="shared" si="35"/>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24"/>
        <v/>
      </c>
      <c r="L87" s="183" t="str">
        <f t="shared" si="25"/>
        <v/>
      </c>
      <c r="M87" s="184" t="str">
        <f t="shared" si="26"/>
        <v/>
      </c>
      <c r="N87" s="180"/>
      <c r="O87" s="181"/>
      <c r="P87" s="182"/>
      <c r="Q87" s="168" t="str">
        <f t="shared" si="27"/>
        <v/>
      </c>
      <c r="R87" s="183" t="str">
        <f t="shared" si="28"/>
        <v/>
      </c>
      <c r="S87" s="184" t="str">
        <f t="shared" si="29"/>
        <v/>
      </c>
      <c r="T87" s="180"/>
      <c r="U87" s="181"/>
      <c r="V87" s="182"/>
      <c r="W87" s="168" t="str">
        <f t="shared" si="30"/>
        <v/>
      </c>
      <c r="X87" s="183" t="str">
        <f t="shared" si="31"/>
        <v/>
      </c>
      <c r="Y87" s="184" t="str">
        <f t="shared" si="32"/>
        <v/>
      </c>
      <c r="Z87" s="185" t="str">
        <f t="shared" si="33"/>
        <v/>
      </c>
      <c r="AA87" s="186" t="str">
        <f t="shared" si="34"/>
        <v/>
      </c>
      <c r="AB87" s="187" t="str">
        <f t="shared" si="35"/>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24"/>
        <v/>
      </c>
      <c r="L88" s="183" t="str">
        <f t="shared" si="25"/>
        <v/>
      </c>
      <c r="M88" s="184" t="str">
        <f t="shared" si="26"/>
        <v/>
      </c>
      <c r="N88" s="180"/>
      <c r="O88" s="181"/>
      <c r="P88" s="182"/>
      <c r="Q88" s="168" t="str">
        <f t="shared" si="27"/>
        <v/>
      </c>
      <c r="R88" s="183" t="str">
        <f t="shared" si="28"/>
        <v/>
      </c>
      <c r="S88" s="184" t="str">
        <f t="shared" si="29"/>
        <v/>
      </c>
      <c r="T88" s="180"/>
      <c r="U88" s="181"/>
      <c r="V88" s="182"/>
      <c r="W88" s="168" t="str">
        <f t="shared" si="30"/>
        <v/>
      </c>
      <c r="X88" s="183" t="str">
        <f t="shared" si="31"/>
        <v/>
      </c>
      <c r="Y88" s="184" t="str">
        <f t="shared" si="32"/>
        <v/>
      </c>
      <c r="Z88" s="185" t="str">
        <f t="shared" si="33"/>
        <v/>
      </c>
      <c r="AA88" s="186" t="str">
        <f t="shared" si="34"/>
        <v/>
      </c>
      <c r="AB88" s="187" t="str">
        <f t="shared" si="35"/>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24"/>
        <v/>
      </c>
      <c r="L89" s="183" t="str">
        <f t="shared" si="25"/>
        <v/>
      </c>
      <c r="M89" s="184" t="str">
        <f t="shared" si="26"/>
        <v/>
      </c>
      <c r="N89" s="180"/>
      <c r="O89" s="181"/>
      <c r="P89" s="182"/>
      <c r="Q89" s="168" t="str">
        <f t="shared" si="27"/>
        <v/>
      </c>
      <c r="R89" s="183" t="str">
        <f t="shared" si="28"/>
        <v/>
      </c>
      <c r="S89" s="184" t="str">
        <f t="shared" si="29"/>
        <v/>
      </c>
      <c r="T89" s="180"/>
      <c r="U89" s="181"/>
      <c r="V89" s="182"/>
      <c r="W89" s="168" t="str">
        <f t="shared" si="30"/>
        <v/>
      </c>
      <c r="X89" s="183" t="str">
        <f t="shared" si="31"/>
        <v/>
      </c>
      <c r="Y89" s="184" t="str">
        <f t="shared" si="32"/>
        <v/>
      </c>
      <c r="Z89" s="185" t="str">
        <f t="shared" si="33"/>
        <v/>
      </c>
      <c r="AA89" s="186" t="str">
        <f t="shared" si="34"/>
        <v/>
      </c>
      <c r="AB89" s="187" t="str">
        <f t="shared" si="35"/>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24"/>
        <v/>
      </c>
      <c r="L90" s="183" t="str">
        <f t="shared" si="25"/>
        <v/>
      </c>
      <c r="M90" s="184" t="str">
        <f t="shared" si="26"/>
        <v/>
      </c>
      <c r="N90" s="180"/>
      <c r="O90" s="181"/>
      <c r="P90" s="182"/>
      <c r="Q90" s="168" t="str">
        <f t="shared" si="27"/>
        <v/>
      </c>
      <c r="R90" s="183" t="str">
        <f t="shared" si="28"/>
        <v/>
      </c>
      <c r="S90" s="184" t="str">
        <f t="shared" si="29"/>
        <v/>
      </c>
      <c r="T90" s="180"/>
      <c r="U90" s="181"/>
      <c r="V90" s="182"/>
      <c r="W90" s="168" t="str">
        <f t="shared" si="30"/>
        <v/>
      </c>
      <c r="X90" s="183" t="str">
        <f t="shared" si="31"/>
        <v/>
      </c>
      <c r="Y90" s="184" t="str">
        <f t="shared" si="32"/>
        <v/>
      </c>
      <c r="Z90" s="185" t="str">
        <f t="shared" si="33"/>
        <v/>
      </c>
      <c r="AA90" s="186" t="str">
        <f t="shared" si="34"/>
        <v/>
      </c>
      <c r="AB90" s="187" t="str">
        <f t="shared" si="35"/>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24"/>
        <v/>
      </c>
      <c r="L91" s="183" t="str">
        <f t="shared" si="25"/>
        <v/>
      </c>
      <c r="M91" s="184" t="str">
        <f t="shared" si="26"/>
        <v/>
      </c>
      <c r="N91" s="180"/>
      <c r="O91" s="181"/>
      <c r="P91" s="182"/>
      <c r="Q91" s="168" t="str">
        <f t="shared" si="27"/>
        <v/>
      </c>
      <c r="R91" s="183" t="str">
        <f t="shared" si="28"/>
        <v/>
      </c>
      <c r="S91" s="184" t="str">
        <f t="shared" si="29"/>
        <v/>
      </c>
      <c r="T91" s="180"/>
      <c r="U91" s="181"/>
      <c r="V91" s="182"/>
      <c r="W91" s="168" t="str">
        <f t="shared" si="30"/>
        <v/>
      </c>
      <c r="X91" s="183" t="str">
        <f t="shared" si="31"/>
        <v/>
      </c>
      <c r="Y91" s="184" t="str">
        <f t="shared" si="32"/>
        <v/>
      </c>
      <c r="Z91" s="185" t="str">
        <f t="shared" si="33"/>
        <v/>
      </c>
      <c r="AA91" s="186" t="str">
        <f t="shared" si="34"/>
        <v/>
      </c>
      <c r="AB91" s="187" t="str">
        <f t="shared" si="35"/>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24"/>
        <v/>
      </c>
      <c r="L92" s="183" t="str">
        <f t="shared" si="25"/>
        <v/>
      </c>
      <c r="M92" s="184" t="str">
        <f t="shared" si="26"/>
        <v/>
      </c>
      <c r="N92" s="180"/>
      <c r="O92" s="181"/>
      <c r="P92" s="182"/>
      <c r="Q92" s="168" t="str">
        <f t="shared" si="27"/>
        <v/>
      </c>
      <c r="R92" s="183" t="str">
        <f t="shared" si="28"/>
        <v/>
      </c>
      <c r="S92" s="184" t="str">
        <f t="shared" si="29"/>
        <v/>
      </c>
      <c r="T92" s="180"/>
      <c r="U92" s="181"/>
      <c r="V92" s="182"/>
      <c r="W92" s="168" t="str">
        <f t="shared" si="30"/>
        <v/>
      </c>
      <c r="X92" s="183" t="str">
        <f t="shared" si="31"/>
        <v/>
      </c>
      <c r="Y92" s="184" t="str">
        <f t="shared" si="32"/>
        <v/>
      </c>
      <c r="Z92" s="185" t="str">
        <f t="shared" si="33"/>
        <v/>
      </c>
      <c r="AA92" s="186" t="str">
        <f t="shared" si="34"/>
        <v/>
      </c>
      <c r="AB92" s="187" t="str">
        <f t="shared" si="35"/>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24"/>
        <v/>
      </c>
      <c r="L93" s="183" t="str">
        <f t="shared" si="25"/>
        <v/>
      </c>
      <c r="M93" s="184" t="str">
        <f t="shared" si="26"/>
        <v/>
      </c>
      <c r="N93" s="180"/>
      <c r="O93" s="181"/>
      <c r="P93" s="182"/>
      <c r="Q93" s="168" t="str">
        <f t="shared" si="27"/>
        <v/>
      </c>
      <c r="R93" s="183" t="str">
        <f t="shared" si="28"/>
        <v/>
      </c>
      <c r="S93" s="184" t="str">
        <f t="shared" si="29"/>
        <v/>
      </c>
      <c r="T93" s="180"/>
      <c r="U93" s="181"/>
      <c r="V93" s="182"/>
      <c r="W93" s="168" t="str">
        <f t="shared" si="30"/>
        <v/>
      </c>
      <c r="X93" s="183" t="str">
        <f t="shared" si="31"/>
        <v/>
      </c>
      <c r="Y93" s="184" t="str">
        <f t="shared" si="32"/>
        <v/>
      </c>
      <c r="Z93" s="185" t="str">
        <f t="shared" si="33"/>
        <v/>
      </c>
      <c r="AA93" s="186" t="str">
        <f t="shared" si="34"/>
        <v/>
      </c>
      <c r="AB93" s="187" t="str">
        <f t="shared" si="35"/>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24"/>
        <v/>
      </c>
      <c r="L94" s="183" t="str">
        <f t="shared" si="25"/>
        <v/>
      </c>
      <c r="M94" s="184" t="str">
        <f t="shared" si="26"/>
        <v/>
      </c>
      <c r="N94" s="180"/>
      <c r="O94" s="181"/>
      <c r="P94" s="182"/>
      <c r="Q94" s="168" t="str">
        <f t="shared" si="27"/>
        <v/>
      </c>
      <c r="R94" s="183" t="str">
        <f t="shared" si="28"/>
        <v/>
      </c>
      <c r="S94" s="184" t="str">
        <f t="shared" si="29"/>
        <v/>
      </c>
      <c r="T94" s="180"/>
      <c r="U94" s="181"/>
      <c r="V94" s="182"/>
      <c r="W94" s="168" t="str">
        <f t="shared" si="30"/>
        <v/>
      </c>
      <c r="X94" s="183" t="str">
        <f t="shared" si="31"/>
        <v/>
      </c>
      <c r="Y94" s="184" t="str">
        <f t="shared" si="32"/>
        <v/>
      </c>
      <c r="Z94" s="185" t="str">
        <f t="shared" si="33"/>
        <v/>
      </c>
      <c r="AA94" s="186" t="str">
        <f t="shared" si="34"/>
        <v/>
      </c>
      <c r="AB94" s="187" t="str">
        <f t="shared" si="35"/>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24"/>
        <v/>
      </c>
      <c r="L95" s="183" t="str">
        <f t="shared" si="25"/>
        <v/>
      </c>
      <c r="M95" s="184" t="str">
        <f t="shared" si="26"/>
        <v/>
      </c>
      <c r="N95" s="180"/>
      <c r="O95" s="181"/>
      <c r="P95" s="182"/>
      <c r="Q95" s="168" t="str">
        <f t="shared" si="27"/>
        <v/>
      </c>
      <c r="R95" s="183" t="str">
        <f t="shared" si="28"/>
        <v/>
      </c>
      <c r="S95" s="184" t="str">
        <f t="shared" si="29"/>
        <v/>
      </c>
      <c r="T95" s="180"/>
      <c r="U95" s="181"/>
      <c r="V95" s="182"/>
      <c r="W95" s="168" t="str">
        <f t="shared" si="30"/>
        <v/>
      </c>
      <c r="X95" s="183" t="str">
        <f t="shared" si="31"/>
        <v/>
      </c>
      <c r="Y95" s="184" t="str">
        <f t="shared" si="32"/>
        <v/>
      </c>
      <c r="Z95" s="185" t="str">
        <f t="shared" si="33"/>
        <v/>
      </c>
      <c r="AA95" s="186" t="str">
        <f t="shared" si="34"/>
        <v/>
      </c>
      <c r="AB95" s="187" t="str">
        <f t="shared" si="35"/>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24"/>
        <v/>
      </c>
      <c r="L96" s="183" t="str">
        <f t="shared" si="25"/>
        <v/>
      </c>
      <c r="M96" s="184" t="str">
        <f t="shared" si="26"/>
        <v/>
      </c>
      <c r="N96" s="180"/>
      <c r="O96" s="181"/>
      <c r="P96" s="182"/>
      <c r="Q96" s="168" t="str">
        <f t="shared" si="27"/>
        <v/>
      </c>
      <c r="R96" s="183" t="str">
        <f t="shared" si="28"/>
        <v/>
      </c>
      <c r="S96" s="184" t="str">
        <f t="shared" si="29"/>
        <v/>
      </c>
      <c r="T96" s="180"/>
      <c r="U96" s="181"/>
      <c r="V96" s="182"/>
      <c r="W96" s="168" t="str">
        <f t="shared" si="30"/>
        <v/>
      </c>
      <c r="X96" s="183" t="str">
        <f t="shared" si="31"/>
        <v/>
      </c>
      <c r="Y96" s="184" t="str">
        <f t="shared" si="32"/>
        <v/>
      </c>
      <c r="Z96" s="185" t="str">
        <f t="shared" si="33"/>
        <v/>
      </c>
      <c r="AA96" s="186" t="str">
        <f t="shared" si="34"/>
        <v/>
      </c>
      <c r="AB96" s="187" t="str">
        <f t="shared" si="35"/>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24"/>
        <v/>
      </c>
      <c r="L97" s="183" t="str">
        <f t="shared" si="25"/>
        <v/>
      </c>
      <c r="M97" s="184" t="str">
        <f t="shared" si="26"/>
        <v/>
      </c>
      <c r="N97" s="180"/>
      <c r="O97" s="181"/>
      <c r="P97" s="182"/>
      <c r="Q97" s="168" t="str">
        <f t="shared" si="27"/>
        <v/>
      </c>
      <c r="R97" s="183" t="str">
        <f t="shared" si="28"/>
        <v/>
      </c>
      <c r="S97" s="184" t="str">
        <f t="shared" si="29"/>
        <v/>
      </c>
      <c r="T97" s="180"/>
      <c r="U97" s="181"/>
      <c r="V97" s="182"/>
      <c r="W97" s="168" t="str">
        <f t="shared" si="30"/>
        <v/>
      </c>
      <c r="X97" s="183" t="str">
        <f t="shared" si="31"/>
        <v/>
      </c>
      <c r="Y97" s="184" t="str">
        <f t="shared" si="32"/>
        <v/>
      </c>
      <c r="Z97" s="185" t="str">
        <f t="shared" si="33"/>
        <v/>
      </c>
      <c r="AA97" s="186" t="str">
        <f t="shared" si="34"/>
        <v/>
      </c>
      <c r="AB97" s="187" t="str">
        <f t="shared" si="35"/>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24"/>
        <v/>
      </c>
      <c r="L98" s="183" t="str">
        <f t="shared" si="25"/>
        <v/>
      </c>
      <c r="M98" s="184" t="str">
        <f t="shared" si="26"/>
        <v/>
      </c>
      <c r="N98" s="180"/>
      <c r="O98" s="181"/>
      <c r="P98" s="182"/>
      <c r="Q98" s="168" t="str">
        <f t="shared" si="27"/>
        <v/>
      </c>
      <c r="R98" s="183" t="str">
        <f t="shared" si="28"/>
        <v/>
      </c>
      <c r="S98" s="184" t="str">
        <f t="shared" si="29"/>
        <v/>
      </c>
      <c r="T98" s="180"/>
      <c r="U98" s="181"/>
      <c r="V98" s="182"/>
      <c r="W98" s="168" t="str">
        <f t="shared" si="30"/>
        <v/>
      </c>
      <c r="X98" s="183" t="str">
        <f t="shared" si="31"/>
        <v/>
      </c>
      <c r="Y98" s="184" t="str">
        <f t="shared" si="32"/>
        <v/>
      </c>
      <c r="Z98" s="185" t="str">
        <f t="shared" si="33"/>
        <v/>
      </c>
      <c r="AA98" s="186" t="str">
        <f t="shared" si="34"/>
        <v/>
      </c>
      <c r="AB98" s="187" t="str">
        <f t="shared" si="35"/>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24"/>
        <v/>
      </c>
      <c r="L99" s="183" t="str">
        <f t="shared" si="25"/>
        <v/>
      </c>
      <c r="M99" s="184" t="str">
        <f t="shared" si="26"/>
        <v/>
      </c>
      <c r="N99" s="180"/>
      <c r="O99" s="181"/>
      <c r="P99" s="182"/>
      <c r="Q99" s="168" t="str">
        <f t="shared" si="27"/>
        <v/>
      </c>
      <c r="R99" s="183" t="str">
        <f t="shared" si="28"/>
        <v/>
      </c>
      <c r="S99" s="184" t="str">
        <f t="shared" si="29"/>
        <v/>
      </c>
      <c r="T99" s="180"/>
      <c r="U99" s="181"/>
      <c r="V99" s="182"/>
      <c r="W99" s="168" t="str">
        <f t="shared" si="30"/>
        <v/>
      </c>
      <c r="X99" s="183" t="str">
        <f t="shared" si="31"/>
        <v/>
      </c>
      <c r="Y99" s="184" t="str">
        <f t="shared" si="32"/>
        <v/>
      </c>
      <c r="Z99" s="185" t="str">
        <f t="shared" si="33"/>
        <v/>
      </c>
      <c r="AA99" s="186" t="str">
        <f t="shared" si="34"/>
        <v/>
      </c>
      <c r="AB99" s="187" t="str">
        <f t="shared" si="35"/>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24"/>
        <v/>
      </c>
      <c r="L100" s="183" t="str">
        <f t="shared" si="25"/>
        <v/>
      </c>
      <c r="M100" s="184" t="str">
        <f t="shared" si="26"/>
        <v/>
      </c>
      <c r="N100" s="180"/>
      <c r="O100" s="181"/>
      <c r="P100" s="182"/>
      <c r="Q100" s="168" t="str">
        <f t="shared" si="27"/>
        <v/>
      </c>
      <c r="R100" s="183" t="str">
        <f t="shared" si="28"/>
        <v/>
      </c>
      <c r="S100" s="184" t="str">
        <f t="shared" si="29"/>
        <v/>
      </c>
      <c r="T100" s="180"/>
      <c r="U100" s="181"/>
      <c r="V100" s="182"/>
      <c r="W100" s="168" t="str">
        <f t="shared" si="30"/>
        <v/>
      </c>
      <c r="X100" s="183" t="str">
        <f t="shared" si="31"/>
        <v/>
      </c>
      <c r="Y100" s="184" t="str">
        <f t="shared" si="32"/>
        <v/>
      </c>
      <c r="Z100" s="185" t="str">
        <f t="shared" si="33"/>
        <v/>
      </c>
      <c r="AA100" s="186" t="str">
        <f t="shared" si="34"/>
        <v/>
      </c>
      <c r="AB100" s="187" t="str">
        <f t="shared" si="35"/>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ref="K101:K118" si="36">IF(COUNT($F101:$J101)=0,"",SUM($F101:$J101))</f>
        <v/>
      </c>
      <c r="L101" s="183" t="str">
        <f t="shared" ref="L101:L118" si="37">IF(COUNT(F101:J101)=0,"",IFERROR(K101/$K$15*$L$15,""))</f>
        <v/>
      </c>
      <c r="M101" s="184" t="str">
        <f t="shared" ref="M101:M118" si="38">IF(L101="","",L101*$M$15)</f>
        <v/>
      </c>
      <c r="N101" s="180"/>
      <c r="O101" s="181"/>
      <c r="P101" s="182"/>
      <c r="Q101" s="168" t="str">
        <f t="shared" ref="Q101:Q118" si="39">IF(COUNT(N101:P101)=0,"",SUM(N101:P101))</f>
        <v/>
      </c>
      <c r="R101" s="183" t="str">
        <f t="shared" ref="R101:R118" si="40">IF(COUNT(N101:P101)=0,"",IFERROR(Q101/$Q$15*$R$15,""))</f>
        <v/>
      </c>
      <c r="S101" s="184" t="str">
        <f t="shared" ref="S101:S118" si="41">IF(R101="","",R101*$S$15)</f>
        <v/>
      </c>
      <c r="T101" s="180"/>
      <c r="U101" s="181"/>
      <c r="V101" s="182"/>
      <c r="W101" s="168" t="str">
        <f t="shared" ref="W101:W118" si="42">IF(T101="","",IFERROR(T101/$T$15*$W$15,""))</f>
        <v/>
      </c>
      <c r="X101" s="183" t="str">
        <f t="shared" ref="X101:X118" si="43">IF(U101="","",IFERROR(U101/$U$15*$X$15,""))</f>
        <v/>
      </c>
      <c r="Y101" s="184" t="str">
        <f t="shared" ref="Y101:Y118" si="44">IF(V101="","",IFERROR(V101/$V$15*$Y$15,""))</f>
        <v/>
      </c>
      <c r="Z101" s="185" t="str">
        <f t="shared" ref="Z101:Z118" si="45">IF(COUNT(T101:V101)=0,"",SUM(W101:Y101))</f>
        <v/>
      </c>
      <c r="AA101" s="186" t="str">
        <f t="shared" ref="AA101:AA118" si="46">IF(Z101="","",Z101*$AA$15)</f>
        <v/>
      </c>
      <c r="AB101" s="187" t="str">
        <f t="shared" ref="AB101:AB118" si="47">IF(COUNT(F101:J101,N101:P101,T101:V101)=0,"",SUM(M101,S101,AA101))</f>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36"/>
        <v/>
      </c>
      <c r="L102" s="183" t="str">
        <f t="shared" si="37"/>
        <v/>
      </c>
      <c r="M102" s="184" t="str">
        <f t="shared" si="38"/>
        <v/>
      </c>
      <c r="N102" s="180"/>
      <c r="O102" s="181"/>
      <c r="P102" s="182"/>
      <c r="Q102" s="168" t="str">
        <f t="shared" si="39"/>
        <v/>
      </c>
      <c r="R102" s="183" t="str">
        <f t="shared" si="40"/>
        <v/>
      </c>
      <c r="S102" s="184" t="str">
        <f t="shared" si="41"/>
        <v/>
      </c>
      <c r="T102" s="180"/>
      <c r="U102" s="181"/>
      <c r="V102" s="182"/>
      <c r="W102" s="168" t="str">
        <f t="shared" si="42"/>
        <v/>
      </c>
      <c r="X102" s="183" t="str">
        <f t="shared" si="43"/>
        <v/>
      </c>
      <c r="Y102" s="184" t="str">
        <f t="shared" si="44"/>
        <v/>
      </c>
      <c r="Z102" s="185" t="str">
        <f t="shared" si="45"/>
        <v/>
      </c>
      <c r="AA102" s="186" t="str">
        <f t="shared" si="46"/>
        <v/>
      </c>
      <c r="AB102" s="187" t="str">
        <f t="shared" si="47"/>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36"/>
        <v/>
      </c>
      <c r="L103" s="183" t="str">
        <f t="shared" si="37"/>
        <v/>
      </c>
      <c r="M103" s="184" t="str">
        <f t="shared" si="38"/>
        <v/>
      </c>
      <c r="N103" s="180"/>
      <c r="O103" s="181"/>
      <c r="P103" s="182"/>
      <c r="Q103" s="168" t="str">
        <f t="shared" si="39"/>
        <v/>
      </c>
      <c r="R103" s="183" t="str">
        <f t="shared" si="40"/>
        <v/>
      </c>
      <c r="S103" s="184" t="str">
        <f t="shared" si="41"/>
        <v/>
      </c>
      <c r="T103" s="180"/>
      <c r="U103" s="181"/>
      <c r="V103" s="182"/>
      <c r="W103" s="168" t="str">
        <f t="shared" si="42"/>
        <v/>
      </c>
      <c r="X103" s="183" t="str">
        <f t="shared" si="43"/>
        <v/>
      </c>
      <c r="Y103" s="184" t="str">
        <f t="shared" si="44"/>
        <v/>
      </c>
      <c r="Z103" s="185" t="str">
        <f t="shared" si="45"/>
        <v/>
      </c>
      <c r="AA103" s="186" t="str">
        <f t="shared" si="46"/>
        <v/>
      </c>
      <c r="AB103" s="187" t="str">
        <f t="shared" si="47"/>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36"/>
        <v/>
      </c>
      <c r="L104" s="183" t="str">
        <f t="shared" si="37"/>
        <v/>
      </c>
      <c r="M104" s="184" t="str">
        <f t="shared" si="38"/>
        <v/>
      </c>
      <c r="N104" s="180"/>
      <c r="O104" s="181"/>
      <c r="P104" s="182"/>
      <c r="Q104" s="168" t="str">
        <f t="shared" si="39"/>
        <v/>
      </c>
      <c r="R104" s="183" t="str">
        <f t="shared" si="40"/>
        <v/>
      </c>
      <c r="S104" s="184" t="str">
        <f t="shared" si="41"/>
        <v/>
      </c>
      <c r="T104" s="180"/>
      <c r="U104" s="181"/>
      <c r="V104" s="182"/>
      <c r="W104" s="168" t="str">
        <f t="shared" si="42"/>
        <v/>
      </c>
      <c r="X104" s="183" t="str">
        <f t="shared" si="43"/>
        <v/>
      </c>
      <c r="Y104" s="184" t="str">
        <f t="shared" si="44"/>
        <v/>
      </c>
      <c r="Z104" s="185" t="str">
        <f t="shared" si="45"/>
        <v/>
      </c>
      <c r="AA104" s="186" t="str">
        <f t="shared" si="46"/>
        <v/>
      </c>
      <c r="AB104" s="187" t="str">
        <f t="shared" si="47"/>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36"/>
        <v/>
      </c>
      <c r="L105" s="183" t="str">
        <f t="shared" si="37"/>
        <v/>
      </c>
      <c r="M105" s="184" t="str">
        <f t="shared" si="38"/>
        <v/>
      </c>
      <c r="N105" s="180"/>
      <c r="O105" s="181"/>
      <c r="P105" s="182"/>
      <c r="Q105" s="168" t="str">
        <f t="shared" si="39"/>
        <v/>
      </c>
      <c r="R105" s="183" t="str">
        <f t="shared" si="40"/>
        <v/>
      </c>
      <c r="S105" s="184" t="str">
        <f t="shared" si="41"/>
        <v/>
      </c>
      <c r="T105" s="180"/>
      <c r="U105" s="181"/>
      <c r="V105" s="182"/>
      <c r="W105" s="168" t="str">
        <f t="shared" si="42"/>
        <v/>
      </c>
      <c r="X105" s="183" t="str">
        <f t="shared" si="43"/>
        <v/>
      </c>
      <c r="Y105" s="184" t="str">
        <f t="shared" si="44"/>
        <v/>
      </c>
      <c r="Z105" s="185" t="str">
        <f t="shared" si="45"/>
        <v/>
      </c>
      <c r="AA105" s="186" t="str">
        <f t="shared" si="46"/>
        <v/>
      </c>
      <c r="AB105" s="187" t="str">
        <f t="shared" si="47"/>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36"/>
        <v/>
      </c>
      <c r="L106" s="183" t="str">
        <f t="shared" si="37"/>
        <v/>
      </c>
      <c r="M106" s="184" t="str">
        <f t="shared" si="38"/>
        <v/>
      </c>
      <c r="N106" s="180"/>
      <c r="O106" s="181"/>
      <c r="P106" s="182"/>
      <c r="Q106" s="168" t="str">
        <f t="shared" si="39"/>
        <v/>
      </c>
      <c r="R106" s="183" t="str">
        <f t="shared" si="40"/>
        <v/>
      </c>
      <c r="S106" s="184" t="str">
        <f t="shared" si="41"/>
        <v/>
      </c>
      <c r="T106" s="180"/>
      <c r="U106" s="181"/>
      <c r="V106" s="182"/>
      <c r="W106" s="168" t="str">
        <f t="shared" si="42"/>
        <v/>
      </c>
      <c r="X106" s="183" t="str">
        <f t="shared" si="43"/>
        <v/>
      </c>
      <c r="Y106" s="184" t="str">
        <f t="shared" si="44"/>
        <v/>
      </c>
      <c r="Z106" s="185" t="str">
        <f t="shared" si="45"/>
        <v/>
      </c>
      <c r="AA106" s="186" t="str">
        <f t="shared" si="46"/>
        <v/>
      </c>
      <c r="AB106" s="187" t="str">
        <f t="shared" si="47"/>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36"/>
        <v/>
      </c>
      <c r="L107" s="183" t="str">
        <f t="shared" si="37"/>
        <v/>
      </c>
      <c r="M107" s="184" t="str">
        <f t="shared" si="38"/>
        <v/>
      </c>
      <c r="N107" s="180"/>
      <c r="O107" s="181"/>
      <c r="P107" s="182"/>
      <c r="Q107" s="168" t="str">
        <f t="shared" si="39"/>
        <v/>
      </c>
      <c r="R107" s="183" t="str">
        <f t="shared" si="40"/>
        <v/>
      </c>
      <c r="S107" s="184" t="str">
        <f t="shared" si="41"/>
        <v/>
      </c>
      <c r="T107" s="180"/>
      <c r="U107" s="181"/>
      <c r="V107" s="182"/>
      <c r="W107" s="168" t="str">
        <f t="shared" si="42"/>
        <v/>
      </c>
      <c r="X107" s="183" t="str">
        <f t="shared" si="43"/>
        <v/>
      </c>
      <c r="Y107" s="184" t="str">
        <f t="shared" si="44"/>
        <v/>
      </c>
      <c r="Z107" s="185" t="str">
        <f t="shared" si="45"/>
        <v/>
      </c>
      <c r="AA107" s="186" t="str">
        <f t="shared" si="46"/>
        <v/>
      </c>
      <c r="AB107" s="187" t="str">
        <f t="shared" si="47"/>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36"/>
        <v/>
      </c>
      <c r="L108" s="183" t="str">
        <f t="shared" si="37"/>
        <v/>
      </c>
      <c r="M108" s="184" t="str">
        <f t="shared" si="38"/>
        <v/>
      </c>
      <c r="N108" s="180"/>
      <c r="O108" s="181"/>
      <c r="P108" s="182"/>
      <c r="Q108" s="168" t="str">
        <f t="shared" si="39"/>
        <v/>
      </c>
      <c r="R108" s="183" t="str">
        <f t="shared" si="40"/>
        <v/>
      </c>
      <c r="S108" s="184" t="str">
        <f t="shared" si="41"/>
        <v/>
      </c>
      <c r="T108" s="180"/>
      <c r="U108" s="181"/>
      <c r="V108" s="182"/>
      <c r="W108" s="168" t="str">
        <f t="shared" si="42"/>
        <v/>
      </c>
      <c r="X108" s="183" t="str">
        <f t="shared" si="43"/>
        <v/>
      </c>
      <c r="Y108" s="184" t="str">
        <f t="shared" si="44"/>
        <v/>
      </c>
      <c r="Z108" s="185" t="str">
        <f t="shared" si="45"/>
        <v/>
      </c>
      <c r="AA108" s="186" t="str">
        <f t="shared" si="46"/>
        <v/>
      </c>
      <c r="AB108" s="187" t="str">
        <f t="shared" si="47"/>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36"/>
        <v/>
      </c>
      <c r="L109" s="183" t="str">
        <f t="shared" si="37"/>
        <v/>
      </c>
      <c r="M109" s="184" t="str">
        <f t="shared" si="38"/>
        <v/>
      </c>
      <c r="N109" s="180"/>
      <c r="O109" s="181"/>
      <c r="P109" s="182"/>
      <c r="Q109" s="168" t="str">
        <f t="shared" si="39"/>
        <v/>
      </c>
      <c r="R109" s="183" t="str">
        <f t="shared" si="40"/>
        <v/>
      </c>
      <c r="S109" s="184" t="str">
        <f t="shared" si="41"/>
        <v/>
      </c>
      <c r="T109" s="180"/>
      <c r="U109" s="181"/>
      <c r="V109" s="182"/>
      <c r="W109" s="168" t="str">
        <f t="shared" si="42"/>
        <v/>
      </c>
      <c r="X109" s="183" t="str">
        <f t="shared" si="43"/>
        <v/>
      </c>
      <c r="Y109" s="184" t="str">
        <f t="shared" si="44"/>
        <v/>
      </c>
      <c r="Z109" s="185" t="str">
        <f t="shared" si="45"/>
        <v/>
      </c>
      <c r="AA109" s="186" t="str">
        <f t="shared" si="46"/>
        <v/>
      </c>
      <c r="AB109" s="187" t="str">
        <f t="shared" si="47"/>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36"/>
        <v/>
      </c>
      <c r="L110" s="183" t="str">
        <f t="shared" si="37"/>
        <v/>
      </c>
      <c r="M110" s="184" t="str">
        <f t="shared" si="38"/>
        <v/>
      </c>
      <c r="N110" s="180"/>
      <c r="O110" s="181"/>
      <c r="P110" s="182"/>
      <c r="Q110" s="168" t="str">
        <f t="shared" si="39"/>
        <v/>
      </c>
      <c r="R110" s="183" t="str">
        <f t="shared" si="40"/>
        <v/>
      </c>
      <c r="S110" s="184" t="str">
        <f t="shared" si="41"/>
        <v/>
      </c>
      <c r="T110" s="180"/>
      <c r="U110" s="181"/>
      <c r="V110" s="182"/>
      <c r="W110" s="168" t="str">
        <f t="shared" si="42"/>
        <v/>
      </c>
      <c r="X110" s="183" t="str">
        <f t="shared" si="43"/>
        <v/>
      </c>
      <c r="Y110" s="184" t="str">
        <f t="shared" si="44"/>
        <v/>
      </c>
      <c r="Z110" s="185" t="str">
        <f t="shared" si="45"/>
        <v/>
      </c>
      <c r="AA110" s="186" t="str">
        <f t="shared" si="46"/>
        <v/>
      </c>
      <c r="AB110" s="187" t="str">
        <f t="shared" si="47"/>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36"/>
        <v/>
      </c>
      <c r="L111" s="183" t="str">
        <f t="shared" si="37"/>
        <v/>
      </c>
      <c r="M111" s="184" t="str">
        <f t="shared" si="38"/>
        <v/>
      </c>
      <c r="N111" s="180"/>
      <c r="O111" s="181"/>
      <c r="P111" s="182"/>
      <c r="Q111" s="168" t="str">
        <f t="shared" si="39"/>
        <v/>
      </c>
      <c r="R111" s="183" t="str">
        <f t="shared" si="40"/>
        <v/>
      </c>
      <c r="S111" s="184" t="str">
        <f t="shared" si="41"/>
        <v/>
      </c>
      <c r="T111" s="180"/>
      <c r="U111" s="181"/>
      <c r="V111" s="182"/>
      <c r="W111" s="168" t="str">
        <f t="shared" si="42"/>
        <v/>
      </c>
      <c r="X111" s="183" t="str">
        <f t="shared" si="43"/>
        <v/>
      </c>
      <c r="Y111" s="184" t="str">
        <f t="shared" si="44"/>
        <v/>
      </c>
      <c r="Z111" s="185" t="str">
        <f t="shared" si="45"/>
        <v/>
      </c>
      <c r="AA111" s="186" t="str">
        <f t="shared" si="46"/>
        <v/>
      </c>
      <c r="AB111" s="187" t="str">
        <f t="shared" si="47"/>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36"/>
        <v/>
      </c>
      <c r="L112" s="183" t="str">
        <f t="shared" si="37"/>
        <v/>
      </c>
      <c r="M112" s="184" t="str">
        <f t="shared" si="38"/>
        <v/>
      </c>
      <c r="N112" s="180"/>
      <c r="O112" s="181"/>
      <c r="P112" s="182"/>
      <c r="Q112" s="168" t="str">
        <f t="shared" si="39"/>
        <v/>
      </c>
      <c r="R112" s="183" t="str">
        <f t="shared" si="40"/>
        <v/>
      </c>
      <c r="S112" s="184" t="str">
        <f t="shared" si="41"/>
        <v/>
      </c>
      <c r="T112" s="180"/>
      <c r="U112" s="181"/>
      <c r="V112" s="182"/>
      <c r="W112" s="168" t="str">
        <f t="shared" si="42"/>
        <v/>
      </c>
      <c r="X112" s="183" t="str">
        <f t="shared" si="43"/>
        <v/>
      </c>
      <c r="Y112" s="184" t="str">
        <f t="shared" si="44"/>
        <v/>
      </c>
      <c r="Z112" s="185" t="str">
        <f t="shared" si="45"/>
        <v/>
      </c>
      <c r="AA112" s="186" t="str">
        <f t="shared" si="46"/>
        <v/>
      </c>
      <c r="AB112" s="187" t="str">
        <f t="shared" si="47"/>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36"/>
        <v/>
      </c>
      <c r="L113" s="183" t="str">
        <f t="shared" si="37"/>
        <v/>
      </c>
      <c r="M113" s="184" t="str">
        <f t="shared" si="38"/>
        <v/>
      </c>
      <c r="N113" s="180"/>
      <c r="O113" s="181"/>
      <c r="P113" s="182"/>
      <c r="Q113" s="168" t="str">
        <f t="shared" si="39"/>
        <v/>
      </c>
      <c r="R113" s="183" t="str">
        <f t="shared" si="40"/>
        <v/>
      </c>
      <c r="S113" s="184" t="str">
        <f t="shared" si="41"/>
        <v/>
      </c>
      <c r="T113" s="180"/>
      <c r="U113" s="181"/>
      <c r="V113" s="182"/>
      <c r="W113" s="168" t="str">
        <f t="shared" si="42"/>
        <v/>
      </c>
      <c r="X113" s="183" t="str">
        <f t="shared" si="43"/>
        <v/>
      </c>
      <c r="Y113" s="184" t="str">
        <f t="shared" si="44"/>
        <v/>
      </c>
      <c r="Z113" s="185" t="str">
        <f t="shared" si="45"/>
        <v/>
      </c>
      <c r="AA113" s="186" t="str">
        <f t="shared" si="46"/>
        <v/>
      </c>
      <c r="AB113" s="187" t="str">
        <f t="shared" si="47"/>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36"/>
        <v/>
      </c>
      <c r="L114" s="183" t="str">
        <f t="shared" si="37"/>
        <v/>
      </c>
      <c r="M114" s="184" t="str">
        <f t="shared" si="38"/>
        <v/>
      </c>
      <c r="N114" s="180"/>
      <c r="O114" s="181"/>
      <c r="P114" s="182"/>
      <c r="Q114" s="168" t="str">
        <f t="shared" si="39"/>
        <v/>
      </c>
      <c r="R114" s="183" t="str">
        <f t="shared" si="40"/>
        <v/>
      </c>
      <c r="S114" s="184" t="str">
        <f t="shared" si="41"/>
        <v/>
      </c>
      <c r="T114" s="180"/>
      <c r="U114" s="181"/>
      <c r="V114" s="182"/>
      <c r="W114" s="168" t="str">
        <f t="shared" si="42"/>
        <v/>
      </c>
      <c r="X114" s="183" t="str">
        <f t="shared" si="43"/>
        <v/>
      </c>
      <c r="Y114" s="184" t="str">
        <f t="shared" si="44"/>
        <v/>
      </c>
      <c r="Z114" s="185" t="str">
        <f t="shared" si="45"/>
        <v/>
      </c>
      <c r="AA114" s="186" t="str">
        <f t="shared" si="46"/>
        <v/>
      </c>
      <c r="AB114" s="187" t="str">
        <f t="shared" si="47"/>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36"/>
        <v/>
      </c>
      <c r="L115" s="183" t="str">
        <f t="shared" si="37"/>
        <v/>
      </c>
      <c r="M115" s="184" t="str">
        <f t="shared" si="38"/>
        <v/>
      </c>
      <c r="N115" s="180"/>
      <c r="O115" s="181"/>
      <c r="P115" s="182"/>
      <c r="Q115" s="168" t="str">
        <f t="shared" si="39"/>
        <v/>
      </c>
      <c r="R115" s="183" t="str">
        <f t="shared" si="40"/>
        <v/>
      </c>
      <c r="S115" s="184" t="str">
        <f t="shared" si="41"/>
        <v/>
      </c>
      <c r="T115" s="180"/>
      <c r="U115" s="181"/>
      <c r="V115" s="182"/>
      <c r="W115" s="168" t="str">
        <f t="shared" si="42"/>
        <v/>
      </c>
      <c r="X115" s="183" t="str">
        <f t="shared" si="43"/>
        <v/>
      </c>
      <c r="Y115" s="184" t="str">
        <f t="shared" si="44"/>
        <v/>
      </c>
      <c r="Z115" s="185" t="str">
        <f t="shared" si="45"/>
        <v/>
      </c>
      <c r="AA115" s="186" t="str">
        <f t="shared" si="46"/>
        <v/>
      </c>
      <c r="AB115" s="187" t="str">
        <f t="shared" si="47"/>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36"/>
        <v/>
      </c>
      <c r="L116" s="183" t="str">
        <f t="shared" si="37"/>
        <v/>
      </c>
      <c r="M116" s="184" t="str">
        <f t="shared" si="38"/>
        <v/>
      </c>
      <c r="N116" s="180"/>
      <c r="O116" s="181"/>
      <c r="P116" s="182"/>
      <c r="Q116" s="168" t="str">
        <f t="shared" si="39"/>
        <v/>
      </c>
      <c r="R116" s="183" t="str">
        <f t="shared" si="40"/>
        <v/>
      </c>
      <c r="S116" s="184" t="str">
        <f t="shared" si="41"/>
        <v/>
      </c>
      <c r="T116" s="180"/>
      <c r="U116" s="181"/>
      <c r="V116" s="182"/>
      <c r="W116" s="168" t="str">
        <f t="shared" si="42"/>
        <v/>
      </c>
      <c r="X116" s="183" t="str">
        <f t="shared" si="43"/>
        <v/>
      </c>
      <c r="Y116" s="184" t="str">
        <f t="shared" si="44"/>
        <v/>
      </c>
      <c r="Z116" s="185" t="str">
        <f t="shared" si="45"/>
        <v/>
      </c>
      <c r="AA116" s="186" t="str">
        <f t="shared" si="46"/>
        <v/>
      </c>
      <c r="AB116" s="187" t="str">
        <f t="shared" si="47"/>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36"/>
        <v/>
      </c>
      <c r="L117" s="183" t="str">
        <f t="shared" si="37"/>
        <v/>
      </c>
      <c r="M117" s="184" t="str">
        <f t="shared" si="38"/>
        <v/>
      </c>
      <c r="N117" s="180"/>
      <c r="O117" s="181"/>
      <c r="P117" s="182"/>
      <c r="Q117" s="168" t="str">
        <f t="shared" si="39"/>
        <v/>
      </c>
      <c r="R117" s="183" t="str">
        <f t="shared" si="40"/>
        <v/>
      </c>
      <c r="S117" s="184" t="str">
        <f t="shared" si="41"/>
        <v/>
      </c>
      <c r="T117" s="180"/>
      <c r="U117" s="181"/>
      <c r="V117" s="182"/>
      <c r="W117" s="168" t="str">
        <f t="shared" si="42"/>
        <v/>
      </c>
      <c r="X117" s="183" t="str">
        <f t="shared" si="43"/>
        <v/>
      </c>
      <c r="Y117" s="184" t="str">
        <f t="shared" si="44"/>
        <v/>
      </c>
      <c r="Z117" s="185" t="str">
        <f t="shared" si="45"/>
        <v/>
      </c>
      <c r="AA117" s="186" t="str">
        <f t="shared" si="46"/>
        <v/>
      </c>
      <c r="AB117" s="187" t="str">
        <f t="shared" si="47"/>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36"/>
        <v/>
      </c>
      <c r="L118" s="214" t="str">
        <f t="shared" si="37"/>
        <v/>
      </c>
      <c r="M118" s="215" t="str">
        <f t="shared" si="38"/>
        <v/>
      </c>
      <c r="N118" s="190"/>
      <c r="O118" s="191"/>
      <c r="P118" s="192"/>
      <c r="Q118" s="213" t="str">
        <f t="shared" si="39"/>
        <v/>
      </c>
      <c r="R118" s="214" t="str">
        <f t="shared" si="40"/>
        <v/>
      </c>
      <c r="S118" s="215" t="str">
        <f t="shared" si="41"/>
        <v/>
      </c>
      <c r="T118" s="190"/>
      <c r="U118" s="191"/>
      <c r="V118" s="192"/>
      <c r="W118" s="213" t="str">
        <f t="shared" si="42"/>
        <v/>
      </c>
      <c r="X118" s="214" t="str">
        <f t="shared" si="43"/>
        <v/>
      </c>
      <c r="Y118" s="215" t="str">
        <f t="shared" si="44"/>
        <v/>
      </c>
      <c r="Z118" s="216" t="str">
        <f t="shared" si="45"/>
        <v/>
      </c>
      <c r="AA118" s="217" t="str">
        <f t="shared" si="46"/>
        <v/>
      </c>
      <c r="AB118" s="218" t="str">
        <f t="shared" si="47"/>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mXlkX3bMIU1Y9xIRMTAQ4M/dalTfAdSa0coNTIQdLmLUFlLbfSrfjr6DC3Tam4//5xbVdonubhqxxua9SfoaYw==" saltValue="sSI0L9B97UQuwpQpihNfRQ=="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N10:P11"/>
    <mergeCell ref="N12:S13"/>
    <mergeCell ref="F12:M13"/>
    <mergeCell ref="Y10:Z11"/>
    <mergeCell ref="Q10:X11"/>
    <mergeCell ref="B10:E14"/>
    <mergeCell ref="T12:AA13"/>
    <mergeCell ref="B2:AD3"/>
    <mergeCell ref="AA10:AD11"/>
  </mergeCells>
  <dataValidations count="29">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d Entry" error="The score cannot be greater than the HPS." promptTitle="Score Entry" prompt="Enter learners' raw scores." sqref="U18:U67 U69:U118">
      <formula1>U18&lt;=$U$15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sheetPr>
  <dimension ref="A1:R117"/>
  <sheetViews>
    <sheetView showGridLines="0" workbookViewId="0">
      <selection activeCell="A1" sqref="A1"/>
    </sheetView>
  </sheetViews>
  <sheetFormatPr defaultColWidth="12.6666666666667" defaultRowHeight="12.75"/>
  <cols>
    <col min="1" max="2" width="3.88571428571429" style="44" customWidth="1"/>
    <col min="3" max="5" width="12.6666666666667" style="44"/>
    <col min="6" max="8" width="15.1047619047619" style="44" customWidth="1"/>
    <col min="9" max="9" width="17.8857142857143" style="44" customWidth="1"/>
    <col min="10" max="10" width="21.4380952380952" style="44" customWidth="1"/>
    <col min="11" max="11" width="17.3333333333333" style="44" customWidth="1"/>
    <col min="12" max="12" width="3.88571428571429" style="44" customWidth="1"/>
    <col min="13" max="13" width="12.6666666666667" style="44"/>
    <col min="14" max="14" width="16.3333333333333" style="44" customWidth="1"/>
    <col min="15" max="16384" width="12.6666666666667" style="44"/>
  </cols>
  <sheetData>
    <row r="1" ht="15.75" customHeight="1" spans="1:18">
      <c r="A1" s="45"/>
      <c r="L1" s="46"/>
      <c r="M1" s="46"/>
    </row>
    <row r="2" ht="15.75" customHeight="1" spans="1:18">
      <c r="B2" s="47" t="s">
        <v>42</v>
      </c>
      <c r="L2" s="46"/>
      <c r="M2" s="46"/>
    </row>
    <row r="3" ht="15.75" customHeight="1" spans="1:18">
      <c r="L3" s="46"/>
      <c r="M3" s="46"/>
    </row>
    <row r="4" ht="15.75" customHeight="1" spans="1:18">
      <c r="L4" s="46"/>
      <c r="M4" s="46"/>
    </row>
    <row r="5" ht="15.75" customHeight="1" spans="1:18">
      <c r="A5" s="46"/>
      <c r="B5" s="46"/>
      <c r="C5" s="48" t="s">
        <v>3</v>
      </c>
      <c r="D5" s="49" t="str">
        <f>IF('INPUT DATA'!E10="","",'INPUT DATA'!E10)</f>
        <v/>
      </c>
      <c r="E5" s="50"/>
      <c r="F5" s="48" t="s">
        <v>7</v>
      </c>
      <c r="G5" s="49" t="str">
        <f>IF('INPUT DATA'!E11="","",'INPUT DATA'!E11)</f>
        <v/>
      </c>
      <c r="H5" s="50"/>
      <c r="I5" s="48" t="s">
        <v>8</v>
      </c>
      <c r="J5" s="49" t="str">
        <f>IF('INPUT DATA'!E13="","",'INPUT DATA'!E13)</f>
        <v/>
      </c>
      <c r="K5" s="50"/>
      <c r="L5" s="46"/>
      <c r="M5" s="46"/>
    </row>
    <row r="6" ht="15.75" customHeight="1" spans="1:18">
      <c r="A6" s="46"/>
      <c r="B6" s="46"/>
      <c r="C6" s="48" t="s">
        <v>9</v>
      </c>
      <c r="D6" s="49" t="str">
        <f>IF('INPUT DATA'!E14="","",'INPUT DATA'!E14)</f>
        <v>San Jose National High School</v>
      </c>
      <c r="E6" s="51"/>
      <c r="F6" s="51"/>
      <c r="G6" s="51"/>
      <c r="H6" s="50"/>
      <c r="I6" s="48" t="s">
        <v>11</v>
      </c>
      <c r="J6" s="49" t="str">
        <f>IF('INPUT DATA'!E14="","",'INPUT DATA'!E14)</f>
        <v>San Jose National High School</v>
      </c>
      <c r="K6" s="50"/>
      <c r="L6" s="46"/>
      <c r="M6" s="46"/>
    </row>
    <row r="7" ht="15.75" customHeight="1" spans="1:18">
      <c r="A7" s="46"/>
      <c r="B7" s="46"/>
      <c r="C7" s="52"/>
      <c r="D7" s="53"/>
      <c r="E7" s="54"/>
      <c r="F7" s="54"/>
      <c r="G7" s="54"/>
      <c r="H7" s="54"/>
      <c r="I7" s="52"/>
      <c r="J7" s="55"/>
      <c r="K7" s="54"/>
      <c r="L7" s="46"/>
      <c r="M7" s="46"/>
    </row>
    <row r="8" ht="13.8" customHeight="1" spans="1:18">
      <c r="A8" s="46"/>
      <c r="B8" s="56"/>
      <c r="C8" s="57"/>
      <c r="D8" s="57"/>
      <c r="E8" s="57"/>
      <c r="F8" s="57"/>
      <c r="G8" s="57"/>
      <c r="H8" s="57"/>
      <c r="I8" s="57"/>
      <c r="J8" s="57"/>
      <c r="K8" s="57"/>
      <c r="L8" s="46"/>
      <c r="M8" s="46"/>
    </row>
    <row r="9" ht="15.75" customHeight="1" spans="1:18">
      <c r="A9" s="46"/>
      <c r="B9" s="58" t="s">
        <v>17</v>
      </c>
      <c r="C9" s="59"/>
      <c r="D9" s="49" t="str">
        <f>IF('INPUT DATA'!E25="","",'INPUT DATA'!E25)</f>
        <v/>
      </c>
      <c r="E9" s="51"/>
      <c r="F9" s="51"/>
      <c r="G9" s="50"/>
      <c r="H9" s="60" t="s">
        <v>15</v>
      </c>
      <c r="I9" s="49" t="str">
        <f>IF('INPUT DATA'!E24="","",'INPUT DATA'!E24)</f>
        <v>SPS</v>
      </c>
      <c r="J9" s="51"/>
      <c r="K9" s="50"/>
      <c r="L9" s="46"/>
      <c r="M9" s="46"/>
    </row>
    <row r="10" ht="15.75" customHeight="1" spans="1:18">
      <c r="A10" s="46"/>
      <c r="B10" s="58" t="s">
        <v>18</v>
      </c>
      <c r="C10" s="59"/>
      <c r="D10" s="61" t="str">
        <f>IF('INPUT DATA'!E26="","",'INPUT DATA'!E26)</f>
        <v/>
      </c>
      <c r="E10" s="51"/>
      <c r="F10" s="51"/>
      <c r="G10" s="50"/>
      <c r="H10" s="62" t="s">
        <v>23</v>
      </c>
      <c r="I10" s="49" t="str">
        <f>IF('INPUT DATA'!E23="","",'INPUT DATA'!E23)</f>
        <v/>
      </c>
      <c r="J10" s="51"/>
      <c r="K10" s="50"/>
      <c r="L10" s="46"/>
      <c r="M10" s="46"/>
    </row>
    <row r="11" ht="14.4" customHeight="1" spans="1:18">
      <c r="A11" s="46"/>
      <c r="B11" s="63" t="s">
        <v>2</v>
      </c>
      <c r="C11" s="64"/>
      <c r="D11" s="64"/>
      <c r="E11" s="64"/>
      <c r="F11" s="65" t="s">
        <v>43</v>
      </c>
      <c r="G11" s="66"/>
      <c r="H11" s="67"/>
      <c r="I11" s="68" t="s">
        <v>44</v>
      </c>
      <c r="J11" s="69" t="s">
        <v>45</v>
      </c>
      <c r="K11" s="69" t="s">
        <v>46</v>
      </c>
      <c r="L11" s="46"/>
      <c r="M11" s="46"/>
      <c r="N11" s="70"/>
      <c r="O11" s="70"/>
      <c r="P11" s="70"/>
      <c r="Q11" s="70"/>
      <c r="R11" s="70"/>
    </row>
    <row r="12" ht="14.4" customHeight="1" spans="1:18">
      <c r="A12" s="46"/>
      <c r="B12" s="71"/>
      <c r="C12" s="57"/>
      <c r="D12" s="57"/>
      <c r="E12" s="57"/>
      <c r="F12" s="65" t="s">
        <v>47</v>
      </c>
      <c r="G12" s="65" t="s">
        <v>48</v>
      </c>
      <c r="H12" s="65" t="s">
        <v>49</v>
      </c>
      <c r="I12" s="72"/>
      <c r="J12" s="73"/>
      <c r="K12" s="73"/>
      <c r="L12" s="46"/>
      <c r="M12" s="46"/>
      <c r="N12" s="70"/>
      <c r="O12" s="70"/>
      <c r="P12" s="70"/>
      <c r="Q12" s="70"/>
      <c r="R12" s="70"/>
    </row>
    <row r="13" ht="14.4" customHeight="1" spans="1:18">
      <c r="A13" s="46"/>
      <c r="B13" s="74" t="s">
        <v>5</v>
      </c>
      <c r="C13" s="75"/>
      <c r="D13" s="75"/>
      <c r="E13" s="75"/>
      <c r="F13" s="64"/>
      <c r="G13" s="64"/>
      <c r="H13" s="75"/>
      <c r="I13" s="64"/>
      <c r="J13" s="75"/>
      <c r="K13" s="59"/>
      <c r="L13" s="46"/>
      <c r="M13" s="46"/>
      <c r="N13" s="76"/>
      <c r="R13" s="70"/>
    </row>
    <row r="14" ht="15" customHeight="1" spans="1:18">
      <c r="A14" s="46"/>
      <c r="B14" s="77">
        <v>1</v>
      </c>
      <c r="C14" s="78" t="str">
        <f>IF('INPUT DATA'!K11="","",'INPUT DATA'!K11)</f>
        <v/>
      </c>
      <c r="D14" s="79"/>
      <c r="E14" s="79"/>
      <c r="F14" s="80" t="str">
        <f>IF('TERM 1'!AC18="","",'TERM 1'!AC18)</f>
        <v/>
      </c>
      <c r="G14" s="81" t="str">
        <f>IF('TERM 2'!AC18="","",'TERM 2'!AC18)</f>
        <v/>
      </c>
      <c r="H14" s="82" t="str">
        <f>IF('TERM 3'!AC18="","",'TERM 3'!AC18)</f>
        <v/>
      </c>
      <c r="I14" s="83" t="str">
        <f>IF(COUNT(F14,G14,H14)&lt;3,"",ROUND(AVERAGE(F14,G14,H14),0))</f>
        <v/>
      </c>
      <c r="J14" s="84" t="str">
        <f>IF(I14="","",IFERROR(INDEX(HELPER!$G$8:$G$48,MATCH(I14,HELPER!$F$8:$F$48,-1)),""))</f>
        <v/>
      </c>
      <c r="K14" s="85"/>
      <c r="L14" s="46"/>
      <c r="M14" s="46"/>
      <c r="N14" s="86"/>
      <c r="O14" s="76"/>
      <c r="P14" s="76"/>
      <c r="Q14" s="76"/>
      <c r="R14" s="70"/>
    </row>
    <row r="15" ht="15" customHeight="1" spans="1:18">
      <c r="A15" s="46"/>
      <c r="B15" s="87">
        <v>2</v>
      </c>
      <c r="C15" s="78" t="str">
        <f>IF('INPUT DATA'!K12="","",'INPUT DATA'!K12)</f>
        <v/>
      </c>
      <c r="D15" s="79"/>
      <c r="E15" s="79"/>
      <c r="F15" s="88" t="str">
        <f>IF('TERM 1'!AC19="","",'TERM 1'!AC19)</f>
        <v/>
      </c>
      <c r="G15" s="89" t="str">
        <f>IF('TERM 2'!AC19="","",'TERM 2'!AC19)</f>
        <v/>
      </c>
      <c r="H15" s="90" t="str">
        <f>IF('TERM 3'!AC19="","",'TERM 3'!AC19)</f>
        <v/>
      </c>
      <c r="I15" s="91" t="str">
        <f t="shared" ref="I15:I78" si="0">IF(COUNT(F15,G15,H15)&lt;3,"",ROUND(AVERAGE(F15,G15,H15),0))</f>
        <v/>
      </c>
      <c r="J15" s="92" t="str">
        <f>IF(I15="","",IFERROR(INDEX(HELPER!$G$8:$G$48,MATCH(I15,HELPER!$F$8:$F$48,-1)),""))</f>
        <v/>
      </c>
      <c r="K15" s="93"/>
      <c r="L15" s="46"/>
      <c r="M15" s="46"/>
      <c r="N15" s="94"/>
      <c r="O15" s="70"/>
      <c r="P15" s="70"/>
      <c r="Q15" s="70"/>
      <c r="R15" s="70"/>
    </row>
    <row r="16" ht="15" customHeight="1" spans="1:18">
      <c r="A16" s="46"/>
      <c r="B16" s="87">
        <v>3</v>
      </c>
      <c r="C16" s="78" t="str">
        <f>IF('INPUT DATA'!K13="","",'INPUT DATA'!K13)</f>
        <v/>
      </c>
      <c r="D16" s="79"/>
      <c r="E16" s="79"/>
      <c r="F16" s="88" t="str">
        <f>IF('TERM 1'!AC20="","",'TERM 1'!AC20)</f>
        <v/>
      </c>
      <c r="G16" s="89" t="str">
        <f>IF('TERM 2'!AC20="","",'TERM 2'!AC20)</f>
        <v/>
      </c>
      <c r="H16" s="90" t="str">
        <f>IF('TERM 3'!AC20="","",'TERM 3'!AC20)</f>
        <v/>
      </c>
      <c r="I16" s="95" t="str">
        <f t="shared" si="0"/>
        <v/>
      </c>
      <c r="J16" s="92" t="str">
        <f>IF(I16="","",IFERROR(INDEX(HELPER!$G$8:$G$48,MATCH(I16,HELPER!$F$8:$F$48,-1)),""))</f>
        <v/>
      </c>
      <c r="K16" s="93"/>
      <c r="L16" s="46"/>
      <c r="M16" s="46"/>
      <c r="N16" s="94"/>
      <c r="O16" s="70"/>
      <c r="P16" s="70"/>
      <c r="Q16" s="70"/>
      <c r="R16" s="70"/>
    </row>
    <row r="17" ht="15" customHeight="1" spans="1:18">
      <c r="A17" s="46"/>
      <c r="B17" s="87">
        <v>4</v>
      </c>
      <c r="C17" s="78" t="str">
        <f>IF('INPUT DATA'!K14="","",'INPUT DATA'!K14)</f>
        <v/>
      </c>
      <c r="D17" s="79"/>
      <c r="E17" s="79"/>
      <c r="F17" s="88" t="str">
        <f>IF('TERM 1'!AC21="","",'TERM 1'!AC21)</f>
        <v/>
      </c>
      <c r="G17" s="89" t="str">
        <f>IF('TERM 2'!AC21="","",'TERM 2'!AC21)</f>
        <v/>
      </c>
      <c r="H17" s="90" t="str">
        <f>IF('TERM 3'!AC21="","",'TERM 3'!AC21)</f>
        <v/>
      </c>
      <c r="I17" s="95" t="str">
        <f t="shared" si="0"/>
        <v/>
      </c>
      <c r="J17" s="92" t="str">
        <f>IF(I17="","",IFERROR(INDEX(HELPER!$G$8:$G$48,MATCH(I17,HELPER!$F$8:$F$48,-1)),""))</f>
        <v/>
      </c>
      <c r="K17" s="93"/>
      <c r="L17" s="46"/>
      <c r="M17" s="46"/>
      <c r="N17" s="94"/>
      <c r="O17" s="70"/>
      <c r="P17" s="70"/>
      <c r="Q17" s="70"/>
      <c r="R17" s="70"/>
    </row>
    <row r="18" ht="15" customHeight="1" spans="1:18">
      <c r="A18" s="46"/>
      <c r="B18" s="87">
        <v>5</v>
      </c>
      <c r="C18" s="78" t="str">
        <f>IF('INPUT DATA'!K15="","",'INPUT DATA'!K15)</f>
        <v/>
      </c>
      <c r="D18" s="79"/>
      <c r="E18" s="79"/>
      <c r="F18" s="88" t="str">
        <f>IF('TERM 1'!AC22="","",'TERM 1'!AC22)</f>
        <v/>
      </c>
      <c r="G18" s="89" t="str">
        <f>IF('TERM 2'!AC22="","",'TERM 2'!AC22)</f>
        <v/>
      </c>
      <c r="H18" s="90" t="str">
        <f>IF('TERM 3'!AC22="","",'TERM 3'!AC22)</f>
        <v/>
      </c>
      <c r="I18" s="95" t="str">
        <f t="shared" si="0"/>
        <v/>
      </c>
      <c r="J18" s="92" t="str">
        <f>IF(I18="","",IFERROR(INDEX(HELPER!$G$8:$G$48,MATCH(I18,HELPER!$F$8:$F$48,-1)),""))</f>
        <v/>
      </c>
      <c r="K18" s="93"/>
      <c r="L18" s="46"/>
      <c r="M18" s="46"/>
      <c r="N18" s="94"/>
      <c r="O18" s="70"/>
      <c r="P18" s="70"/>
      <c r="Q18" s="70"/>
      <c r="R18" s="70"/>
    </row>
    <row r="19" ht="15" customHeight="1" spans="1:18">
      <c r="A19" s="46"/>
      <c r="B19" s="87">
        <v>6</v>
      </c>
      <c r="C19" s="78" t="str">
        <f>IF('INPUT DATA'!K16="","",'INPUT DATA'!K16)</f>
        <v/>
      </c>
      <c r="D19" s="79"/>
      <c r="E19" s="79"/>
      <c r="F19" s="88" t="str">
        <f>IF('TERM 1'!AC23="","",'TERM 1'!AC23)</f>
        <v/>
      </c>
      <c r="G19" s="89" t="str">
        <f>IF('TERM 2'!AC23="","",'TERM 2'!AC23)</f>
        <v/>
      </c>
      <c r="H19" s="90" t="str">
        <f>IF('TERM 3'!AC23="","",'TERM 3'!AC23)</f>
        <v/>
      </c>
      <c r="I19" s="95" t="str">
        <f t="shared" si="0"/>
        <v/>
      </c>
      <c r="J19" s="92" t="str">
        <f>IF(I19="","",IFERROR(INDEX(HELPER!$G$8:$G$48,MATCH(I19,HELPER!$F$8:$F$48,-1)),""))</f>
        <v/>
      </c>
      <c r="K19" s="93"/>
      <c r="L19" s="46"/>
      <c r="M19" s="46"/>
      <c r="N19" s="94"/>
      <c r="O19" s="70"/>
      <c r="P19" s="70"/>
      <c r="Q19" s="70"/>
      <c r="R19" s="70"/>
    </row>
    <row r="20" ht="15" customHeight="1" spans="1:18">
      <c r="A20" s="46"/>
      <c r="B20" s="87">
        <v>7</v>
      </c>
      <c r="C20" s="78" t="str">
        <f>IF('INPUT DATA'!K17="","",'INPUT DATA'!K17)</f>
        <v/>
      </c>
      <c r="D20" s="79"/>
      <c r="E20" s="79"/>
      <c r="F20" s="88" t="str">
        <f>IF('TERM 1'!AC24="","",'TERM 1'!AC24)</f>
        <v/>
      </c>
      <c r="G20" s="89" t="str">
        <f>IF('TERM 2'!AC24="","",'TERM 2'!AC24)</f>
        <v/>
      </c>
      <c r="H20" s="90" t="str">
        <f>IF('TERM 3'!AC24="","",'TERM 3'!AC24)</f>
        <v/>
      </c>
      <c r="I20" s="95" t="str">
        <f t="shared" si="0"/>
        <v/>
      </c>
      <c r="J20" s="92" t="str">
        <f>IF(I20="","",IFERROR(INDEX(HELPER!$G$8:$G$48,MATCH(I20,HELPER!$F$8:$F$48,-1)),""))</f>
        <v/>
      </c>
      <c r="K20" s="93"/>
      <c r="L20" s="46"/>
      <c r="M20" s="46"/>
      <c r="N20" s="70"/>
      <c r="O20" s="70"/>
      <c r="P20" s="70"/>
      <c r="Q20" s="70"/>
      <c r="R20" s="70"/>
    </row>
    <row r="21" ht="15" customHeight="1" spans="1:18">
      <c r="A21" s="46"/>
      <c r="B21" s="87">
        <v>8</v>
      </c>
      <c r="C21" s="78" t="str">
        <f>IF('INPUT DATA'!K18="","",'INPUT DATA'!K18)</f>
        <v/>
      </c>
      <c r="D21" s="79"/>
      <c r="E21" s="79"/>
      <c r="F21" s="88" t="str">
        <f>IF('TERM 1'!AC25="","",'TERM 1'!AC25)</f>
        <v/>
      </c>
      <c r="G21" s="89" t="str">
        <f>IF('TERM 2'!AC25="","",'TERM 2'!AC25)</f>
        <v/>
      </c>
      <c r="H21" s="90" t="str">
        <f>IF('TERM 3'!AC25="","",'TERM 3'!AC25)</f>
        <v/>
      </c>
      <c r="I21" s="95" t="str">
        <f t="shared" si="0"/>
        <v/>
      </c>
      <c r="J21" s="92" t="str">
        <f>IF(I21="","",IFERROR(INDEX(HELPER!$G$8:$G$48,MATCH(I21,HELPER!$F$8:$F$48,-1)),""))</f>
        <v/>
      </c>
      <c r="K21" s="93"/>
      <c r="L21" s="46"/>
      <c r="M21" s="46"/>
      <c r="N21" s="70"/>
      <c r="O21" s="70"/>
      <c r="P21" s="70"/>
      <c r="Q21" s="70"/>
      <c r="R21" s="70"/>
    </row>
    <row r="22" ht="15" customHeight="1" spans="1:18">
      <c r="A22" s="46"/>
      <c r="B22" s="87">
        <v>9</v>
      </c>
      <c r="C22" s="78" t="str">
        <f>IF('INPUT DATA'!K19="","",'INPUT DATA'!K19)</f>
        <v/>
      </c>
      <c r="D22" s="79"/>
      <c r="E22" s="79"/>
      <c r="F22" s="88" t="str">
        <f>IF('TERM 1'!AC26="","",'TERM 1'!AC26)</f>
        <v/>
      </c>
      <c r="G22" s="89" t="str">
        <f>IF('TERM 2'!AC26="","",'TERM 2'!AC26)</f>
        <v/>
      </c>
      <c r="H22" s="90" t="str">
        <f>IF('TERM 3'!AC26="","",'TERM 3'!AC26)</f>
        <v/>
      </c>
      <c r="I22" s="95" t="str">
        <f t="shared" si="0"/>
        <v/>
      </c>
      <c r="J22" s="92" t="str">
        <f>IF(I22="","",IFERROR(INDEX(HELPER!$G$8:$G$48,MATCH(I22,HELPER!$F$8:$F$48,-1)),""))</f>
        <v/>
      </c>
      <c r="K22" s="93"/>
      <c r="L22" s="46"/>
      <c r="M22" s="46"/>
      <c r="N22" s="70"/>
      <c r="O22" s="70"/>
      <c r="P22" s="70"/>
      <c r="Q22" s="70"/>
      <c r="R22" s="70"/>
    </row>
    <row r="23" ht="15" customHeight="1" spans="1:18">
      <c r="A23" s="46"/>
      <c r="B23" s="87">
        <v>10</v>
      </c>
      <c r="C23" s="78" t="str">
        <f>IF('INPUT DATA'!K20="","",'INPUT DATA'!K20)</f>
        <v/>
      </c>
      <c r="D23" s="79"/>
      <c r="E23" s="79"/>
      <c r="F23" s="88" t="str">
        <f>IF('TERM 1'!AC27="","",'TERM 1'!AC27)</f>
        <v/>
      </c>
      <c r="G23" s="89" t="str">
        <f>IF('TERM 2'!AC27="","",'TERM 2'!AC27)</f>
        <v/>
      </c>
      <c r="H23" s="90" t="str">
        <f>IF('TERM 3'!AC27="","",'TERM 3'!AC27)</f>
        <v/>
      </c>
      <c r="I23" s="95" t="str">
        <f t="shared" si="0"/>
        <v/>
      </c>
      <c r="J23" s="92" t="str">
        <f>IF(I23="","",IFERROR(INDEX(HELPER!$G$8:$G$48,MATCH(I23,HELPER!$F$8:$F$48,-1)),""))</f>
        <v/>
      </c>
      <c r="K23" s="93"/>
      <c r="L23" s="46"/>
      <c r="M23" s="46"/>
    </row>
    <row r="24" ht="15" customHeight="1" spans="1:18">
      <c r="A24" s="46"/>
      <c r="B24" s="87">
        <v>11</v>
      </c>
      <c r="C24" s="78" t="str">
        <f>IF('INPUT DATA'!K21="","",'INPUT DATA'!K21)</f>
        <v/>
      </c>
      <c r="D24" s="79"/>
      <c r="E24" s="79"/>
      <c r="F24" s="88" t="str">
        <f>IF('TERM 1'!AC28="","",'TERM 1'!AC28)</f>
        <v/>
      </c>
      <c r="G24" s="89" t="str">
        <f>IF('TERM 2'!AC28="","",'TERM 2'!AC28)</f>
        <v/>
      </c>
      <c r="H24" s="90" t="str">
        <f>IF('TERM 3'!AC28="","",'TERM 3'!AC28)</f>
        <v/>
      </c>
      <c r="I24" s="95" t="str">
        <f t="shared" si="0"/>
        <v/>
      </c>
      <c r="J24" s="92" t="str">
        <f>IF(I24="","",IFERROR(INDEX(HELPER!$G$8:$G$48,MATCH(I24,HELPER!$F$8:$F$48,-1)),""))</f>
        <v/>
      </c>
      <c r="K24" s="93"/>
      <c r="L24" s="46"/>
      <c r="M24" s="46"/>
    </row>
    <row r="25" ht="15" customHeight="1" spans="1:18">
      <c r="A25" s="46"/>
      <c r="B25" s="87">
        <v>12</v>
      </c>
      <c r="C25" s="78" t="str">
        <f>IF('INPUT DATA'!K22="","",'INPUT DATA'!K22)</f>
        <v/>
      </c>
      <c r="D25" s="79"/>
      <c r="E25" s="79"/>
      <c r="F25" s="88" t="str">
        <f>IF('TERM 1'!AC29="","",'TERM 1'!AC29)</f>
        <v/>
      </c>
      <c r="G25" s="89" t="str">
        <f>IF('TERM 2'!AC29="","",'TERM 2'!AC29)</f>
        <v/>
      </c>
      <c r="H25" s="90" t="str">
        <f>IF('TERM 3'!AC29="","",'TERM 3'!AC29)</f>
        <v/>
      </c>
      <c r="I25" s="95" t="str">
        <f t="shared" si="0"/>
        <v/>
      </c>
      <c r="J25" s="92" t="str">
        <f>IF(I25="","",IFERROR(INDEX(HELPER!$G$8:$G$48,MATCH(I25,HELPER!$F$8:$F$48,-1)),""))</f>
        <v/>
      </c>
      <c r="K25" s="93"/>
      <c r="L25" s="46"/>
      <c r="M25" s="46"/>
    </row>
    <row r="26" ht="15" customHeight="1" spans="1:18">
      <c r="A26" s="46"/>
      <c r="B26" s="87">
        <v>13</v>
      </c>
      <c r="C26" s="78" t="str">
        <f>IF('INPUT DATA'!K23="","",'INPUT DATA'!K23)</f>
        <v/>
      </c>
      <c r="D26" s="79"/>
      <c r="E26" s="79"/>
      <c r="F26" s="88" t="str">
        <f>IF('TERM 1'!AC30="","",'TERM 1'!AC30)</f>
        <v/>
      </c>
      <c r="G26" s="89" t="str">
        <f>IF('TERM 2'!AC30="","",'TERM 2'!AC30)</f>
        <v/>
      </c>
      <c r="H26" s="90" t="str">
        <f>IF('TERM 3'!AC30="","",'TERM 3'!AC30)</f>
        <v/>
      </c>
      <c r="I26" s="95" t="str">
        <f t="shared" si="0"/>
        <v/>
      </c>
      <c r="J26" s="92" t="str">
        <f>IF(I26="","",IFERROR(INDEX(HELPER!$G$8:$G$48,MATCH(I26,HELPER!$F$8:$F$48,-1)),""))</f>
        <v/>
      </c>
      <c r="K26" s="93"/>
      <c r="L26" s="46"/>
      <c r="M26" s="46"/>
    </row>
    <row r="27" ht="15" customHeight="1" spans="1:18">
      <c r="A27" s="46"/>
      <c r="B27" s="87">
        <v>14</v>
      </c>
      <c r="C27" s="78" t="str">
        <f>IF('INPUT DATA'!K24="","",'INPUT DATA'!K24)</f>
        <v/>
      </c>
      <c r="D27" s="79"/>
      <c r="E27" s="79"/>
      <c r="F27" s="88" t="str">
        <f>IF('TERM 1'!AC31="","",'TERM 1'!AC31)</f>
        <v/>
      </c>
      <c r="G27" s="89" t="str">
        <f>IF('TERM 2'!AC31="","",'TERM 2'!AC31)</f>
        <v/>
      </c>
      <c r="H27" s="90" t="str">
        <f>IF('TERM 3'!AC31="","",'TERM 3'!AC31)</f>
        <v/>
      </c>
      <c r="I27" s="95" t="str">
        <f t="shared" si="0"/>
        <v/>
      </c>
      <c r="J27" s="92" t="str">
        <f>IF(I27="","",IFERROR(INDEX(HELPER!$G$8:$G$48,MATCH(I27,HELPER!$F$8:$F$48,-1)),""))</f>
        <v/>
      </c>
      <c r="K27" s="93"/>
      <c r="L27" s="46"/>
      <c r="M27" s="46"/>
    </row>
    <row r="28" ht="15" customHeight="1" spans="1:18">
      <c r="A28" s="46"/>
      <c r="B28" s="87">
        <v>15</v>
      </c>
      <c r="C28" s="78" t="str">
        <f>IF('INPUT DATA'!K25="","",'INPUT DATA'!K25)</f>
        <v/>
      </c>
      <c r="D28" s="79"/>
      <c r="E28" s="79"/>
      <c r="F28" s="88" t="str">
        <f>IF('TERM 1'!AC32="","",'TERM 1'!AC32)</f>
        <v/>
      </c>
      <c r="G28" s="89" t="str">
        <f>IF('TERM 2'!AC32="","",'TERM 2'!AC32)</f>
        <v/>
      </c>
      <c r="H28" s="90" t="str">
        <f>IF('TERM 3'!AC32="","",'TERM 3'!AC32)</f>
        <v/>
      </c>
      <c r="I28" s="95" t="str">
        <f t="shared" si="0"/>
        <v/>
      </c>
      <c r="J28" s="92" t="str">
        <f>IF(I28="","",IFERROR(INDEX(HELPER!$G$8:$G$48,MATCH(I28,HELPER!$F$8:$F$48,-1)),""))</f>
        <v/>
      </c>
      <c r="K28" s="93"/>
      <c r="L28" s="46"/>
      <c r="M28" s="46"/>
    </row>
    <row r="29" ht="15" customHeight="1" spans="1:18">
      <c r="A29" s="46"/>
      <c r="B29" s="87">
        <v>16</v>
      </c>
      <c r="C29" s="78" t="str">
        <f>IF('INPUT DATA'!K26="","",'INPUT DATA'!K26)</f>
        <v/>
      </c>
      <c r="D29" s="79"/>
      <c r="E29" s="79"/>
      <c r="F29" s="88" t="str">
        <f>IF('TERM 1'!AC33="","",'TERM 1'!AC33)</f>
        <v/>
      </c>
      <c r="G29" s="89" t="str">
        <f>IF('TERM 2'!AC33="","",'TERM 2'!AC33)</f>
        <v/>
      </c>
      <c r="H29" s="90" t="str">
        <f>IF('TERM 3'!AC33="","",'TERM 3'!AC33)</f>
        <v/>
      </c>
      <c r="I29" s="95" t="str">
        <f t="shared" si="0"/>
        <v/>
      </c>
      <c r="J29" s="92" t="str">
        <f>IF(I29="","",IFERROR(INDEX(HELPER!$G$8:$G$48,MATCH(I29,HELPER!$F$8:$F$48,-1)),""))</f>
        <v/>
      </c>
      <c r="K29" s="93"/>
      <c r="L29" s="46"/>
      <c r="M29" s="46"/>
    </row>
    <row r="30" ht="15" customHeight="1" spans="1:18">
      <c r="A30" s="46"/>
      <c r="B30" s="87">
        <v>17</v>
      </c>
      <c r="C30" s="78" t="str">
        <f>IF('INPUT DATA'!K27="","",'INPUT DATA'!K27)</f>
        <v/>
      </c>
      <c r="D30" s="79"/>
      <c r="E30" s="79"/>
      <c r="F30" s="88" t="str">
        <f>IF('TERM 1'!AC34="","",'TERM 1'!AC34)</f>
        <v/>
      </c>
      <c r="G30" s="89" t="str">
        <f>IF('TERM 2'!AC34="","",'TERM 2'!AC34)</f>
        <v/>
      </c>
      <c r="H30" s="90" t="str">
        <f>IF('TERM 3'!AC34="","",'TERM 3'!AC34)</f>
        <v/>
      </c>
      <c r="I30" s="95" t="str">
        <f t="shared" si="0"/>
        <v/>
      </c>
      <c r="J30" s="92" t="str">
        <f>IF(I30="","",IFERROR(INDEX(HELPER!$G$8:$G$48,MATCH(I30,HELPER!$F$8:$F$48,-1)),""))</f>
        <v/>
      </c>
      <c r="K30" s="93"/>
      <c r="L30" s="46"/>
      <c r="M30" s="46"/>
    </row>
    <row r="31" ht="15" customHeight="1" spans="1:18">
      <c r="A31" s="46"/>
      <c r="B31" s="87">
        <v>18</v>
      </c>
      <c r="C31" s="78" t="str">
        <f>IF('INPUT DATA'!K28="","",'INPUT DATA'!K28)</f>
        <v/>
      </c>
      <c r="D31" s="79"/>
      <c r="E31" s="79"/>
      <c r="F31" s="88" t="str">
        <f>IF('TERM 1'!AC35="","",'TERM 1'!AC35)</f>
        <v/>
      </c>
      <c r="G31" s="89" t="str">
        <f>IF('TERM 2'!AC35="","",'TERM 2'!AC35)</f>
        <v/>
      </c>
      <c r="H31" s="90" t="str">
        <f>IF('TERM 3'!AC35="","",'TERM 3'!AC35)</f>
        <v/>
      </c>
      <c r="I31" s="95" t="str">
        <f t="shared" si="0"/>
        <v/>
      </c>
      <c r="J31" s="92" t="str">
        <f>IF(I31="","",IFERROR(INDEX(HELPER!$G$8:$G$48,MATCH(I31,HELPER!$F$8:$F$48,-1)),""))</f>
        <v/>
      </c>
      <c r="K31" s="93"/>
      <c r="L31" s="46"/>
      <c r="M31" s="46"/>
    </row>
    <row r="32" ht="15" customHeight="1" spans="1:18">
      <c r="A32" s="46"/>
      <c r="B32" s="87">
        <v>19</v>
      </c>
      <c r="C32" s="78" t="str">
        <f>IF('INPUT DATA'!K29="","",'INPUT DATA'!K29)</f>
        <v/>
      </c>
      <c r="D32" s="79"/>
      <c r="E32" s="79"/>
      <c r="F32" s="88" t="str">
        <f>IF('TERM 1'!AC36="","",'TERM 1'!AC36)</f>
        <v/>
      </c>
      <c r="G32" s="89" t="str">
        <f>IF('TERM 2'!AC36="","",'TERM 2'!AC36)</f>
        <v/>
      </c>
      <c r="H32" s="90" t="str">
        <f>IF('TERM 3'!AC36="","",'TERM 3'!AC36)</f>
        <v/>
      </c>
      <c r="I32" s="95" t="str">
        <f t="shared" si="0"/>
        <v/>
      </c>
      <c r="J32" s="92" t="str">
        <f>IF(I32="","",IFERROR(INDEX(HELPER!$G$8:$G$48,MATCH(I32,HELPER!$F$8:$F$48,-1)),""))</f>
        <v/>
      </c>
      <c r="K32" s="93"/>
      <c r="L32" s="46"/>
      <c r="M32" s="46"/>
    </row>
    <row r="33" ht="15" customHeight="1" spans="1:13">
      <c r="A33" s="46"/>
      <c r="B33" s="96">
        <v>20</v>
      </c>
      <c r="C33" s="78" t="str">
        <f>IF('INPUT DATA'!K30="","",'INPUT DATA'!K30)</f>
        <v/>
      </c>
      <c r="D33" s="79"/>
      <c r="E33" s="79"/>
      <c r="F33" s="88" t="str">
        <f>IF('TERM 1'!AC37="","",'TERM 1'!AC37)</f>
        <v/>
      </c>
      <c r="G33" s="89" t="str">
        <f>IF('TERM 2'!AC37="","",'TERM 2'!AC37)</f>
        <v/>
      </c>
      <c r="H33" s="90" t="str">
        <f>IF('TERM 3'!AC37="","",'TERM 3'!AC37)</f>
        <v/>
      </c>
      <c r="I33" s="95" t="str">
        <f t="shared" si="0"/>
        <v/>
      </c>
      <c r="J33" s="92" t="str">
        <f>IF(I33="","",IFERROR(INDEX(HELPER!$G$8:$G$48,MATCH(I33,HELPER!$F$8:$F$48,-1)),""))</f>
        <v/>
      </c>
      <c r="K33" s="93"/>
      <c r="L33" s="46"/>
      <c r="M33" s="46"/>
    </row>
    <row r="34" ht="15" customHeight="1" spans="1:13">
      <c r="A34" s="46"/>
      <c r="B34" s="96">
        <v>21</v>
      </c>
      <c r="C34" s="78" t="str">
        <f>IF('INPUT DATA'!K31="","",'INPUT DATA'!K31)</f>
        <v/>
      </c>
      <c r="D34" s="79"/>
      <c r="E34" s="79"/>
      <c r="F34" s="88" t="str">
        <f>IF('TERM 1'!AC38="","",'TERM 1'!AC38)</f>
        <v/>
      </c>
      <c r="G34" s="89" t="str">
        <f>IF('TERM 2'!AC38="","",'TERM 2'!AC38)</f>
        <v/>
      </c>
      <c r="H34" s="90" t="str">
        <f>IF('TERM 3'!AC38="","",'TERM 3'!AC38)</f>
        <v/>
      </c>
      <c r="I34" s="95" t="str">
        <f t="shared" si="0"/>
        <v/>
      </c>
      <c r="J34" s="92" t="str">
        <f>IF(I34="","",IFERROR(INDEX(HELPER!$G$8:$G$48,MATCH(I34,HELPER!$F$8:$F$48,-1)),""))</f>
        <v/>
      </c>
      <c r="K34" s="93"/>
      <c r="L34" s="46"/>
      <c r="M34" s="46"/>
    </row>
    <row r="35" ht="15" customHeight="1" spans="1:13">
      <c r="A35" s="46"/>
      <c r="B35" s="96">
        <v>22</v>
      </c>
      <c r="C35" s="78" t="str">
        <f>IF('INPUT DATA'!K32="","",'INPUT DATA'!K32)</f>
        <v/>
      </c>
      <c r="D35" s="79"/>
      <c r="E35" s="79"/>
      <c r="F35" s="88" t="str">
        <f>IF('TERM 1'!AC39="","",'TERM 1'!AC39)</f>
        <v/>
      </c>
      <c r="G35" s="89" t="str">
        <f>IF('TERM 2'!AC39="","",'TERM 2'!AC39)</f>
        <v/>
      </c>
      <c r="H35" s="90" t="str">
        <f>IF('TERM 3'!AC39="","",'TERM 3'!AC39)</f>
        <v/>
      </c>
      <c r="I35" s="95" t="str">
        <f t="shared" si="0"/>
        <v/>
      </c>
      <c r="J35" s="92" t="str">
        <f>IF(I35="","",IFERROR(INDEX(HELPER!$G$8:$G$48,MATCH(I35,HELPER!$F$8:$F$48,-1)),""))</f>
        <v/>
      </c>
      <c r="K35" s="93"/>
      <c r="L35" s="46"/>
      <c r="M35" s="46"/>
    </row>
    <row r="36" ht="15" customHeight="1" spans="1:13">
      <c r="A36" s="46"/>
      <c r="B36" s="96">
        <v>23</v>
      </c>
      <c r="C36" s="78" t="str">
        <f>IF('INPUT DATA'!K33="","",'INPUT DATA'!K33)</f>
        <v/>
      </c>
      <c r="D36" s="79"/>
      <c r="E36" s="79"/>
      <c r="F36" s="88" t="str">
        <f>IF('TERM 1'!AC40="","",'TERM 1'!AC40)</f>
        <v/>
      </c>
      <c r="G36" s="89" t="str">
        <f>IF('TERM 2'!AC40="","",'TERM 2'!AC40)</f>
        <v/>
      </c>
      <c r="H36" s="90" t="str">
        <f>IF('TERM 3'!AC40="","",'TERM 3'!AC40)</f>
        <v/>
      </c>
      <c r="I36" s="95" t="str">
        <f t="shared" si="0"/>
        <v/>
      </c>
      <c r="J36" s="92" t="str">
        <f>IF(I36="","",IFERROR(INDEX(HELPER!$G$8:$G$48,MATCH(I36,HELPER!$F$8:$F$48,-1)),""))</f>
        <v/>
      </c>
      <c r="K36" s="93"/>
      <c r="L36" s="46"/>
      <c r="M36" s="46"/>
    </row>
    <row r="37" ht="15" customHeight="1" spans="1:13">
      <c r="A37" s="46"/>
      <c r="B37" s="96">
        <v>24</v>
      </c>
      <c r="C37" s="78" t="str">
        <f>IF('INPUT DATA'!K34="","",'INPUT DATA'!K34)</f>
        <v/>
      </c>
      <c r="D37" s="79"/>
      <c r="E37" s="79"/>
      <c r="F37" s="88" t="str">
        <f>IF('TERM 1'!AC41="","",'TERM 1'!AC41)</f>
        <v/>
      </c>
      <c r="G37" s="89" t="str">
        <f>IF('TERM 2'!AC41="","",'TERM 2'!AC41)</f>
        <v/>
      </c>
      <c r="H37" s="90" t="str">
        <f>IF('TERM 3'!AC41="","",'TERM 3'!AC41)</f>
        <v/>
      </c>
      <c r="I37" s="95" t="str">
        <f t="shared" si="0"/>
        <v/>
      </c>
      <c r="J37" s="92" t="str">
        <f>IF(I37="","",IFERROR(INDEX(HELPER!$G$8:$G$48,MATCH(I37,HELPER!$F$8:$F$48,-1)),""))</f>
        <v/>
      </c>
      <c r="K37" s="93"/>
      <c r="L37" s="46"/>
      <c r="M37" s="46"/>
    </row>
    <row r="38" ht="15" customHeight="1" spans="1:13">
      <c r="A38" s="46"/>
      <c r="B38" s="96">
        <v>25</v>
      </c>
      <c r="C38" s="78" t="str">
        <f>IF('INPUT DATA'!K35="","",'INPUT DATA'!K35)</f>
        <v/>
      </c>
      <c r="D38" s="79"/>
      <c r="E38" s="79"/>
      <c r="F38" s="88" t="str">
        <f>IF('TERM 1'!AC42="","",'TERM 1'!AC42)</f>
        <v/>
      </c>
      <c r="G38" s="89" t="str">
        <f>IF('TERM 2'!AC42="","",'TERM 2'!AC42)</f>
        <v/>
      </c>
      <c r="H38" s="90" t="str">
        <f>IF('TERM 3'!AC42="","",'TERM 3'!AC42)</f>
        <v/>
      </c>
      <c r="I38" s="95" t="str">
        <f t="shared" si="0"/>
        <v/>
      </c>
      <c r="J38" s="92" t="str">
        <f>IF(I38="","",IFERROR(INDEX(HELPER!$G$8:$G$48,MATCH(I38,HELPER!$F$8:$F$48,-1)),""))</f>
        <v/>
      </c>
      <c r="K38" s="93"/>
      <c r="L38" s="46"/>
      <c r="M38" s="46"/>
    </row>
    <row r="39" ht="15" customHeight="1" spans="1:13">
      <c r="A39" s="46"/>
      <c r="B39" s="96">
        <v>26</v>
      </c>
      <c r="C39" s="78" t="str">
        <f>IF('INPUT DATA'!K36="","",'INPUT DATA'!K36)</f>
        <v/>
      </c>
      <c r="D39" s="79"/>
      <c r="E39" s="79"/>
      <c r="F39" s="88" t="str">
        <f>IF('TERM 1'!AC43="","",'TERM 1'!AC43)</f>
        <v/>
      </c>
      <c r="G39" s="89" t="str">
        <f>IF('TERM 2'!AC43="","",'TERM 2'!AC43)</f>
        <v/>
      </c>
      <c r="H39" s="90" t="str">
        <f>IF('TERM 3'!AC43="","",'TERM 3'!AC43)</f>
        <v/>
      </c>
      <c r="I39" s="95" t="str">
        <f t="shared" si="0"/>
        <v/>
      </c>
      <c r="J39" s="92" t="str">
        <f>IF(I39="","",IFERROR(INDEX(HELPER!$G$8:$G$48,MATCH(I39,HELPER!$F$8:$F$48,-1)),""))</f>
        <v/>
      </c>
      <c r="K39" s="93"/>
      <c r="L39" s="46"/>
      <c r="M39" s="46"/>
    </row>
    <row r="40" ht="15" customHeight="1" spans="1:13">
      <c r="A40" s="46"/>
      <c r="B40" s="96">
        <v>27</v>
      </c>
      <c r="C40" s="78" t="str">
        <f>IF('INPUT DATA'!K37="","",'INPUT DATA'!K37)</f>
        <v/>
      </c>
      <c r="D40" s="79"/>
      <c r="E40" s="79"/>
      <c r="F40" s="88" t="str">
        <f>IF('TERM 1'!AC44="","",'TERM 1'!AC44)</f>
        <v/>
      </c>
      <c r="G40" s="89" t="str">
        <f>IF('TERM 2'!AC44="","",'TERM 2'!AC44)</f>
        <v/>
      </c>
      <c r="H40" s="90" t="str">
        <f>IF('TERM 3'!AC44="","",'TERM 3'!AC44)</f>
        <v/>
      </c>
      <c r="I40" s="95" t="str">
        <f t="shared" si="0"/>
        <v/>
      </c>
      <c r="J40" s="92" t="str">
        <f>IF(I40="","",IFERROR(INDEX(HELPER!$G$8:$G$48,MATCH(I40,HELPER!$F$8:$F$48,-1)),""))</f>
        <v/>
      </c>
      <c r="K40" s="93"/>
      <c r="L40" s="46"/>
      <c r="M40" s="46"/>
    </row>
    <row r="41" ht="15" customHeight="1" spans="1:13">
      <c r="A41" s="46"/>
      <c r="B41" s="96">
        <v>28</v>
      </c>
      <c r="C41" s="78" t="str">
        <f>IF('INPUT DATA'!K38="","",'INPUT DATA'!K38)</f>
        <v/>
      </c>
      <c r="D41" s="79"/>
      <c r="E41" s="79"/>
      <c r="F41" s="88" t="str">
        <f>IF('TERM 1'!AC45="","",'TERM 1'!AC45)</f>
        <v/>
      </c>
      <c r="G41" s="89" t="str">
        <f>IF('TERM 2'!AC45="","",'TERM 2'!AC45)</f>
        <v/>
      </c>
      <c r="H41" s="90" t="str">
        <f>IF('TERM 3'!AC45="","",'TERM 3'!AC45)</f>
        <v/>
      </c>
      <c r="I41" s="95" t="str">
        <f t="shared" si="0"/>
        <v/>
      </c>
      <c r="J41" s="92" t="str">
        <f>IF(I41="","",IFERROR(INDEX(HELPER!$G$8:$G$48,MATCH(I41,HELPER!$F$8:$F$48,-1)),""))</f>
        <v/>
      </c>
      <c r="K41" s="93"/>
      <c r="L41" s="46"/>
      <c r="M41" s="46"/>
    </row>
    <row r="42" ht="15" customHeight="1" spans="1:13">
      <c r="A42" s="46"/>
      <c r="B42" s="96">
        <v>29</v>
      </c>
      <c r="C42" s="78" t="str">
        <f>IF('INPUT DATA'!K39="","",'INPUT DATA'!K39)</f>
        <v/>
      </c>
      <c r="D42" s="79"/>
      <c r="E42" s="79"/>
      <c r="F42" s="88" t="str">
        <f>IF('TERM 1'!AC46="","",'TERM 1'!AC46)</f>
        <v/>
      </c>
      <c r="G42" s="89" t="str">
        <f>IF('TERM 2'!AC46="","",'TERM 2'!AC46)</f>
        <v/>
      </c>
      <c r="H42" s="90" t="str">
        <f>IF('TERM 3'!AC46="","",'TERM 3'!AC46)</f>
        <v/>
      </c>
      <c r="I42" s="95" t="str">
        <f t="shared" si="0"/>
        <v/>
      </c>
      <c r="J42" s="92" t="str">
        <f>IF(I42="","",IFERROR(INDEX(HELPER!$G$8:$G$48,MATCH(I42,HELPER!$F$8:$F$48,-1)),""))</f>
        <v/>
      </c>
      <c r="K42" s="93"/>
      <c r="L42" s="46"/>
      <c r="M42" s="46"/>
    </row>
    <row r="43" ht="15" customHeight="1" spans="1:13">
      <c r="A43" s="46"/>
      <c r="B43" s="96">
        <v>30</v>
      </c>
      <c r="C43" s="78" t="str">
        <f>IF('INPUT DATA'!K40="","",'INPUT DATA'!K40)</f>
        <v/>
      </c>
      <c r="D43" s="79"/>
      <c r="E43" s="79"/>
      <c r="F43" s="88" t="str">
        <f>IF('TERM 1'!AC47="","",'TERM 1'!AC47)</f>
        <v/>
      </c>
      <c r="G43" s="89" t="str">
        <f>IF('TERM 2'!AC47="","",'TERM 2'!AC47)</f>
        <v/>
      </c>
      <c r="H43" s="90" t="str">
        <f>IF('TERM 3'!AC47="","",'TERM 3'!AC47)</f>
        <v/>
      </c>
      <c r="I43" s="95" t="str">
        <f t="shared" si="0"/>
        <v/>
      </c>
      <c r="J43" s="92" t="str">
        <f>IF(I43="","",IFERROR(INDEX(HELPER!$G$8:$G$48,MATCH(I43,HELPER!$F$8:$F$48,-1)),""))</f>
        <v/>
      </c>
      <c r="K43" s="93"/>
      <c r="L43" s="46"/>
      <c r="M43" s="46"/>
    </row>
    <row r="44" ht="15" customHeight="1" spans="1:13">
      <c r="A44" s="46"/>
      <c r="B44" s="96">
        <v>31</v>
      </c>
      <c r="C44" s="78" t="str">
        <f>IF('INPUT DATA'!K41="","",'INPUT DATA'!K41)</f>
        <v/>
      </c>
      <c r="D44" s="79"/>
      <c r="E44" s="79"/>
      <c r="F44" s="88" t="str">
        <f>IF('TERM 1'!AC48="","",'TERM 1'!AC48)</f>
        <v/>
      </c>
      <c r="G44" s="89" t="str">
        <f>IF('TERM 2'!AC48="","",'TERM 2'!AC48)</f>
        <v/>
      </c>
      <c r="H44" s="90" t="str">
        <f>IF('TERM 3'!AC48="","",'TERM 3'!AC48)</f>
        <v/>
      </c>
      <c r="I44" s="95" t="str">
        <f t="shared" si="0"/>
        <v/>
      </c>
      <c r="J44" s="92" t="str">
        <f>IF(I44="","",IFERROR(INDEX(HELPER!$G$8:$G$48,MATCH(I44,HELPER!$F$8:$F$48,-1)),""))</f>
        <v/>
      </c>
      <c r="K44" s="93"/>
      <c r="L44" s="46"/>
      <c r="M44" s="46"/>
    </row>
    <row r="45" ht="15" customHeight="1" spans="1:13">
      <c r="A45" s="46"/>
      <c r="B45" s="96">
        <v>32</v>
      </c>
      <c r="C45" s="78" t="str">
        <f>IF('INPUT DATA'!K42="","",'INPUT DATA'!K42)</f>
        <v/>
      </c>
      <c r="D45" s="79"/>
      <c r="E45" s="79"/>
      <c r="F45" s="88" t="str">
        <f>IF('TERM 1'!AC49="","",'TERM 1'!AC49)</f>
        <v/>
      </c>
      <c r="G45" s="89" t="str">
        <f>IF('TERM 2'!AC49="","",'TERM 2'!AC49)</f>
        <v/>
      </c>
      <c r="H45" s="90" t="str">
        <f>IF('TERM 3'!AC49="","",'TERM 3'!AC49)</f>
        <v/>
      </c>
      <c r="I45" s="95" t="str">
        <f t="shared" si="0"/>
        <v/>
      </c>
      <c r="J45" s="92" t="str">
        <f>IF(I45="","",IFERROR(INDEX(HELPER!$G$8:$G$48,MATCH(I45,HELPER!$F$8:$F$48,-1)),""))</f>
        <v/>
      </c>
      <c r="K45" s="93"/>
      <c r="L45" s="46"/>
      <c r="M45" s="46"/>
    </row>
    <row r="46" ht="15" customHeight="1" spans="1:13">
      <c r="A46" s="46"/>
      <c r="B46" s="96">
        <v>33</v>
      </c>
      <c r="C46" s="78" t="str">
        <f>IF('INPUT DATA'!K43="","",'INPUT DATA'!K43)</f>
        <v/>
      </c>
      <c r="D46" s="79"/>
      <c r="E46" s="79"/>
      <c r="F46" s="88" t="str">
        <f>IF('TERM 1'!AC50="","",'TERM 1'!AC50)</f>
        <v/>
      </c>
      <c r="G46" s="89" t="str">
        <f>IF('TERM 2'!AC50="","",'TERM 2'!AC50)</f>
        <v/>
      </c>
      <c r="H46" s="90" t="str">
        <f>IF('TERM 3'!AC50="","",'TERM 3'!AC50)</f>
        <v/>
      </c>
      <c r="I46" s="95" t="str">
        <f t="shared" si="0"/>
        <v/>
      </c>
      <c r="J46" s="92" t="str">
        <f>IF(I46="","",IFERROR(INDEX(HELPER!$G$8:$G$48,MATCH(I46,HELPER!$F$8:$F$48,-1)),""))</f>
        <v/>
      </c>
      <c r="K46" s="93"/>
      <c r="L46" s="46"/>
      <c r="M46" s="46"/>
    </row>
    <row r="47" ht="15" customHeight="1" spans="1:13">
      <c r="A47" s="46"/>
      <c r="B47" s="96">
        <v>34</v>
      </c>
      <c r="C47" s="78" t="str">
        <f>IF('INPUT DATA'!K44="","",'INPUT DATA'!K44)</f>
        <v/>
      </c>
      <c r="D47" s="79"/>
      <c r="E47" s="79"/>
      <c r="F47" s="88" t="str">
        <f>IF('TERM 1'!AC51="","",'TERM 1'!AC51)</f>
        <v/>
      </c>
      <c r="G47" s="89" t="str">
        <f>IF('TERM 2'!AC51="","",'TERM 2'!AC51)</f>
        <v/>
      </c>
      <c r="H47" s="90" t="str">
        <f>IF('TERM 3'!AC51="","",'TERM 3'!AC51)</f>
        <v/>
      </c>
      <c r="I47" s="95" t="str">
        <f t="shared" si="0"/>
        <v/>
      </c>
      <c r="J47" s="92" t="str">
        <f>IF(I47="","",IFERROR(INDEX(HELPER!$G$8:$G$48,MATCH(I47,HELPER!$F$8:$F$48,-1)),""))</f>
        <v/>
      </c>
      <c r="K47" s="93"/>
      <c r="L47" s="46"/>
      <c r="M47" s="46"/>
    </row>
    <row r="48" ht="15" customHeight="1" spans="1:13">
      <c r="A48" s="46"/>
      <c r="B48" s="96">
        <v>35</v>
      </c>
      <c r="C48" s="78" t="str">
        <f>IF('INPUT DATA'!K45="","",'INPUT DATA'!K45)</f>
        <v/>
      </c>
      <c r="D48" s="79"/>
      <c r="E48" s="79"/>
      <c r="F48" s="88" t="str">
        <f>IF('TERM 1'!AC52="","",'TERM 1'!AC52)</f>
        <v/>
      </c>
      <c r="G48" s="89" t="str">
        <f>IF('TERM 2'!AC52="","",'TERM 2'!AC52)</f>
        <v/>
      </c>
      <c r="H48" s="90" t="str">
        <f>IF('TERM 3'!AC52="","",'TERM 3'!AC52)</f>
        <v/>
      </c>
      <c r="I48" s="95" t="str">
        <f t="shared" si="0"/>
        <v/>
      </c>
      <c r="J48" s="92" t="str">
        <f>IF(I48="","",IFERROR(INDEX(HELPER!$G$8:$G$48,MATCH(I48,HELPER!$F$8:$F$48,-1)),""))</f>
        <v/>
      </c>
      <c r="K48" s="93"/>
      <c r="L48" s="46"/>
      <c r="M48" s="46"/>
    </row>
    <row r="49" ht="15" customHeight="1" spans="1:13">
      <c r="A49" s="46"/>
      <c r="B49" s="96">
        <v>36</v>
      </c>
      <c r="C49" s="78" t="str">
        <f>IF('INPUT DATA'!K46="","",'INPUT DATA'!K46)</f>
        <v/>
      </c>
      <c r="D49" s="79"/>
      <c r="E49" s="79"/>
      <c r="F49" s="88" t="str">
        <f>IF('TERM 1'!AC53="","",'TERM 1'!AC53)</f>
        <v/>
      </c>
      <c r="G49" s="89" t="str">
        <f>IF('TERM 2'!AC53="","",'TERM 2'!AC53)</f>
        <v/>
      </c>
      <c r="H49" s="90" t="str">
        <f>IF('TERM 3'!AC53="","",'TERM 3'!AC53)</f>
        <v/>
      </c>
      <c r="I49" s="95" t="str">
        <f t="shared" si="0"/>
        <v/>
      </c>
      <c r="J49" s="92" t="str">
        <f>IF(I49="","",IFERROR(INDEX(HELPER!$G$8:$G$48,MATCH(I49,HELPER!$F$8:$F$48,-1)),""))</f>
        <v/>
      </c>
      <c r="K49" s="93"/>
      <c r="L49" s="46"/>
      <c r="M49" s="46"/>
    </row>
    <row r="50" ht="15" customHeight="1" spans="1:13">
      <c r="A50" s="46"/>
      <c r="B50" s="96">
        <v>37</v>
      </c>
      <c r="C50" s="78" t="str">
        <f>IF('INPUT DATA'!K47="","",'INPUT DATA'!K47)</f>
        <v/>
      </c>
      <c r="D50" s="79"/>
      <c r="E50" s="79"/>
      <c r="F50" s="88" t="str">
        <f>IF('TERM 1'!AC54="","",'TERM 1'!AC54)</f>
        <v/>
      </c>
      <c r="G50" s="89" t="str">
        <f>IF('TERM 2'!AC54="","",'TERM 2'!AC54)</f>
        <v/>
      </c>
      <c r="H50" s="90" t="str">
        <f>IF('TERM 3'!AC54="","",'TERM 3'!AC54)</f>
        <v/>
      </c>
      <c r="I50" s="95" t="str">
        <f t="shared" si="0"/>
        <v/>
      </c>
      <c r="J50" s="92" t="str">
        <f>IF(I50="","",IFERROR(INDEX(HELPER!$G$8:$G$48,MATCH(I50,HELPER!$F$8:$F$48,-1)),""))</f>
        <v/>
      </c>
      <c r="K50" s="93"/>
      <c r="L50" s="46"/>
      <c r="M50" s="46"/>
    </row>
    <row r="51" ht="15" customHeight="1" spans="1:13">
      <c r="A51" s="46"/>
      <c r="B51" s="96">
        <v>38</v>
      </c>
      <c r="C51" s="78" t="str">
        <f>IF('INPUT DATA'!K48="","",'INPUT DATA'!K48)</f>
        <v/>
      </c>
      <c r="D51" s="79"/>
      <c r="E51" s="79"/>
      <c r="F51" s="88" t="str">
        <f>IF('TERM 1'!AC55="","",'TERM 1'!AC55)</f>
        <v/>
      </c>
      <c r="G51" s="89" t="str">
        <f>IF('TERM 2'!AC55="","",'TERM 2'!AC55)</f>
        <v/>
      </c>
      <c r="H51" s="90" t="str">
        <f>IF('TERM 3'!AC55="","",'TERM 3'!AC55)</f>
        <v/>
      </c>
      <c r="I51" s="95" t="str">
        <f t="shared" si="0"/>
        <v/>
      </c>
      <c r="J51" s="92" t="str">
        <f>IF(I51="","",IFERROR(INDEX(HELPER!$G$8:$G$48,MATCH(I51,HELPER!$F$8:$F$48,-1)),""))</f>
        <v/>
      </c>
      <c r="K51" s="93"/>
      <c r="L51" s="46"/>
      <c r="M51" s="46"/>
    </row>
    <row r="52" ht="15" customHeight="1" spans="1:13">
      <c r="A52" s="46"/>
      <c r="B52" s="96">
        <v>39</v>
      </c>
      <c r="C52" s="78" t="str">
        <f>IF('INPUT DATA'!K49="","",'INPUT DATA'!K49)</f>
        <v/>
      </c>
      <c r="D52" s="79"/>
      <c r="E52" s="79"/>
      <c r="F52" s="88" t="str">
        <f>IF('TERM 1'!AC56="","",'TERM 1'!AC56)</f>
        <v/>
      </c>
      <c r="G52" s="89" t="str">
        <f>IF('TERM 2'!AC56="","",'TERM 2'!AC56)</f>
        <v/>
      </c>
      <c r="H52" s="90" t="str">
        <f>IF('TERM 3'!AC56="","",'TERM 3'!AC56)</f>
        <v/>
      </c>
      <c r="I52" s="95" t="str">
        <f t="shared" si="0"/>
        <v/>
      </c>
      <c r="J52" s="92" t="str">
        <f>IF(I52="","",IFERROR(INDEX(HELPER!$G$8:$G$48,MATCH(I52,HELPER!$F$8:$F$48,-1)),""))</f>
        <v/>
      </c>
      <c r="K52" s="93"/>
      <c r="L52" s="46"/>
      <c r="M52" s="46"/>
    </row>
    <row r="53" ht="15" customHeight="1" spans="1:13">
      <c r="A53" s="46"/>
      <c r="B53" s="96">
        <v>40</v>
      </c>
      <c r="C53" s="78" t="str">
        <f>IF('INPUT DATA'!K50="","",'INPUT DATA'!K50)</f>
        <v/>
      </c>
      <c r="D53" s="79"/>
      <c r="E53" s="79"/>
      <c r="F53" s="88" t="str">
        <f>IF('TERM 1'!AC57="","",'TERM 1'!AC57)</f>
        <v/>
      </c>
      <c r="G53" s="89" t="str">
        <f>IF('TERM 2'!AC57="","",'TERM 2'!AC57)</f>
        <v/>
      </c>
      <c r="H53" s="90" t="str">
        <f>IF('TERM 3'!AC57="","",'TERM 3'!AC57)</f>
        <v/>
      </c>
      <c r="I53" s="95" t="str">
        <f t="shared" si="0"/>
        <v/>
      </c>
      <c r="J53" s="92" t="str">
        <f>IF(I53="","",IFERROR(INDEX(HELPER!$G$8:$G$48,MATCH(I53,HELPER!$F$8:$F$48,-1)),""))</f>
        <v/>
      </c>
      <c r="K53" s="93"/>
      <c r="L53" s="46"/>
      <c r="M53" s="46"/>
    </row>
    <row r="54" ht="15" customHeight="1" spans="1:13">
      <c r="A54" s="46"/>
      <c r="B54" s="96">
        <v>41</v>
      </c>
      <c r="C54" s="78" t="str">
        <f>IF('INPUT DATA'!K51="","",'INPUT DATA'!K51)</f>
        <v/>
      </c>
      <c r="D54" s="79"/>
      <c r="E54" s="79"/>
      <c r="F54" s="88" t="str">
        <f>IF('TERM 1'!AC58="","",'TERM 1'!AC58)</f>
        <v/>
      </c>
      <c r="G54" s="89" t="str">
        <f>IF('TERM 2'!AC58="","",'TERM 2'!AC58)</f>
        <v/>
      </c>
      <c r="H54" s="90" t="str">
        <f>IF('TERM 3'!AC58="","",'TERM 3'!AC58)</f>
        <v/>
      </c>
      <c r="I54" s="95" t="str">
        <f t="shared" si="0"/>
        <v/>
      </c>
      <c r="J54" s="92" t="str">
        <f>IF(I54="","",IFERROR(INDEX(HELPER!$G$8:$G$48,MATCH(I54,HELPER!$F$8:$F$48,-1)),""))</f>
        <v/>
      </c>
      <c r="K54" s="93"/>
      <c r="L54" s="46"/>
      <c r="M54" s="46"/>
    </row>
    <row r="55" ht="15" customHeight="1" spans="1:13">
      <c r="A55" s="46"/>
      <c r="B55" s="96">
        <v>42</v>
      </c>
      <c r="C55" s="78" t="str">
        <f>IF('INPUT DATA'!K52="","",'INPUT DATA'!K52)</f>
        <v/>
      </c>
      <c r="D55" s="79"/>
      <c r="E55" s="79"/>
      <c r="F55" s="88" t="str">
        <f>IF('TERM 1'!AC59="","",'TERM 1'!AC59)</f>
        <v/>
      </c>
      <c r="G55" s="89" t="str">
        <f>IF('TERM 2'!AC59="","",'TERM 2'!AC59)</f>
        <v/>
      </c>
      <c r="H55" s="90" t="str">
        <f>IF('TERM 3'!AC59="","",'TERM 3'!AC59)</f>
        <v/>
      </c>
      <c r="I55" s="95" t="str">
        <f t="shared" si="0"/>
        <v/>
      </c>
      <c r="J55" s="92" t="str">
        <f>IF(I55="","",IFERROR(INDEX(HELPER!$G$8:$G$48,MATCH(I55,HELPER!$F$8:$F$48,-1)),""))</f>
        <v/>
      </c>
      <c r="K55" s="93"/>
      <c r="L55" s="46"/>
      <c r="M55" s="46"/>
    </row>
    <row r="56" ht="15" customHeight="1" spans="1:13">
      <c r="A56" s="46"/>
      <c r="B56" s="96">
        <v>43</v>
      </c>
      <c r="C56" s="78" t="str">
        <f>IF('INPUT DATA'!K53="","",'INPUT DATA'!K53)</f>
        <v/>
      </c>
      <c r="D56" s="79"/>
      <c r="E56" s="79"/>
      <c r="F56" s="88" t="str">
        <f>IF('TERM 1'!AC60="","",'TERM 1'!AC60)</f>
        <v/>
      </c>
      <c r="G56" s="89" t="str">
        <f>IF('TERM 2'!AC60="","",'TERM 2'!AC60)</f>
        <v/>
      </c>
      <c r="H56" s="90" t="str">
        <f>IF('TERM 3'!AC60="","",'TERM 3'!AC60)</f>
        <v/>
      </c>
      <c r="I56" s="95" t="str">
        <f t="shared" si="0"/>
        <v/>
      </c>
      <c r="J56" s="92" t="str">
        <f>IF(I56="","",IFERROR(INDEX(HELPER!$G$8:$G$48,MATCH(I56,HELPER!$F$8:$F$48,-1)),""))</f>
        <v/>
      </c>
      <c r="K56" s="93"/>
      <c r="L56" s="46"/>
      <c r="M56" s="46"/>
    </row>
    <row r="57" ht="15" customHeight="1" spans="1:13">
      <c r="A57" s="46"/>
      <c r="B57" s="96">
        <v>44</v>
      </c>
      <c r="C57" s="78" t="str">
        <f>IF('INPUT DATA'!K54="","",'INPUT DATA'!K54)</f>
        <v/>
      </c>
      <c r="D57" s="79"/>
      <c r="E57" s="79"/>
      <c r="F57" s="88" t="str">
        <f>IF('TERM 1'!AC61="","",'TERM 1'!AC61)</f>
        <v/>
      </c>
      <c r="G57" s="89" t="str">
        <f>IF('TERM 2'!AC61="","",'TERM 2'!AC61)</f>
        <v/>
      </c>
      <c r="H57" s="90" t="str">
        <f>IF('TERM 3'!AC61="","",'TERM 3'!AC61)</f>
        <v/>
      </c>
      <c r="I57" s="95" t="str">
        <f t="shared" si="0"/>
        <v/>
      </c>
      <c r="J57" s="92" t="str">
        <f>IF(I57="","",IFERROR(INDEX(HELPER!$G$8:$G$48,MATCH(I57,HELPER!$F$8:$F$48,-1)),""))</f>
        <v/>
      </c>
      <c r="K57" s="93"/>
      <c r="L57" s="46"/>
      <c r="M57" s="46"/>
    </row>
    <row r="58" ht="15" customHeight="1" spans="1:13">
      <c r="A58" s="46"/>
      <c r="B58" s="96">
        <v>45</v>
      </c>
      <c r="C58" s="78" t="str">
        <f>IF('INPUT DATA'!K55="","",'INPUT DATA'!K55)</f>
        <v/>
      </c>
      <c r="D58" s="79"/>
      <c r="E58" s="79"/>
      <c r="F58" s="88" t="str">
        <f>IF('TERM 1'!AC62="","",'TERM 1'!AC62)</f>
        <v/>
      </c>
      <c r="G58" s="89" t="str">
        <f>IF('TERM 2'!AC62="","",'TERM 2'!AC62)</f>
        <v/>
      </c>
      <c r="H58" s="90" t="str">
        <f>IF('TERM 3'!AC62="","",'TERM 3'!AC62)</f>
        <v/>
      </c>
      <c r="I58" s="95" t="str">
        <f t="shared" si="0"/>
        <v/>
      </c>
      <c r="J58" s="92" t="str">
        <f>IF(I58="","",IFERROR(INDEX(HELPER!$G$8:$G$48,MATCH(I58,HELPER!$F$8:$F$48,-1)),""))</f>
        <v/>
      </c>
      <c r="K58" s="93"/>
      <c r="L58" s="46"/>
      <c r="M58" s="46"/>
    </row>
    <row r="59" ht="15" customHeight="1" spans="1:13">
      <c r="A59" s="46"/>
      <c r="B59" s="96">
        <v>46</v>
      </c>
      <c r="C59" s="78" t="str">
        <f>IF('INPUT DATA'!K56="","",'INPUT DATA'!K56)</f>
        <v/>
      </c>
      <c r="D59" s="79"/>
      <c r="E59" s="79"/>
      <c r="F59" s="88" t="str">
        <f>IF('TERM 1'!AC63="","",'TERM 1'!AC63)</f>
        <v/>
      </c>
      <c r="G59" s="89" t="str">
        <f>IF('TERM 2'!AC63="","",'TERM 2'!AC63)</f>
        <v/>
      </c>
      <c r="H59" s="90" t="str">
        <f>IF('TERM 3'!AC63="","",'TERM 3'!AC63)</f>
        <v/>
      </c>
      <c r="I59" s="95" t="str">
        <f t="shared" si="0"/>
        <v/>
      </c>
      <c r="J59" s="92" t="str">
        <f>IF(I59="","",IFERROR(INDEX(HELPER!$G$8:$G$48,MATCH(I59,HELPER!$F$8:$F$48,-1)),""))</f>
        <v/>
      </c>
      <c r="K59" s="93"/>
      <c r="L59" s="46"/>
      <c r="M59" s="46"/>
    </row>
    <row r="60" ht="15" customHeight="1" spans="1:13">
      <c r="A60" s="46"/>
      <c r="B60" s="96">
        <v>47</v>
      </c>
      <c r="C60" s="78" t="str">
        <f>IF('INPUT DATA'!K57="","",'INPUT DATA'!K57)</f>
        <v/>
      </c>
      <c r="D60" s="79"/>
      <c r="E60" s="79"/>
      <c r="F60" s="88" t="str">
        <f>IF('TERM 1'!AC64="","",'TERM 1'!AC64)</f>
        <v/>
      </c>
      <c r="G60" s="89" t="str">
        <f>IF('TERM 2'!AC64="","",'TERM 2'!AC64)</f>
        <v/>
      </c>
      <c r="H60" s="90" t="str">
        <f>IF('TERM 3'!AC64="","",'TERM 3'!AC64)</f>
        <v/>
      </c>
      <c r="I60" s="95" t="str">
        <f t="shared" si="0"/>
        <v/>
      </c>
      <c r="J60" s="92" t="str">
        <f>IF(I60="","",IFERROR(INDEX(HELPER!$G$8:$G$48,MATCH(I60,HELPER!$F$8:$F$48,-1)),""))</f>
        <v/>
      </c>
      <c r="K60" s="93"/>
      <c r="L60" s="46"/>
      <c r="M60" s="46"/>
    </row>
    <row r="61" ht="15" customHeight="1" spans="1:13">
      <c r="A61" s="46"/>
      <c r="B61" s="96">
        <v>48</v>
      </c>
      <c r="C61" s="78" t="str">
        <f>IF('INPUT DATA'!K58="","",'INPUT DATA'!K58)</f>
        <v/>
      </c>
      <c r="D61" s="79"/>
      <c r="E61" s="79"/>
      <c r="F61" s="88" t="str">
        <f>IF('TERM 1'!AC65="","",'TERM 1'!AC65)</f>
        <v/>
      </c>
      <c r="G61" s="89" t="str">
        <f>IF('TERM 2'!AC65="","",'TERM 2'!AC65)</f>
        <v/>
      </c>
      <c r="H61" s="90" t="str">
        <f>IF('TERM 3'!AC65="","",'TERM 3'!AC65)</f>
        <v/>
      </c>
      <c r="I61" s="95" t="str">
        <f t="shared" si="0"/>
        <v/>
      </c>
      <c r="J61" s="92" t="str">
        <f>IF(I61="","",IFERROR(INDEX(HELPER!$G$8:$G$48,MATCH(I61,HELPER!$F$8:$F$48,-1)),""))</f>
        <v/>
      </c>
      <c r="K61" s="93"/>
      <c r="L61" s="46"/>
      <c r="M61" s="46"/>
    </row>
    <row r="62" ht="15" customHeight="1" spans="1:13">
      <c r="A62" s="46"/>
      <c r="B62" s="96">
        <v>49</v>
      </c>
      <c r="C62" s="78" t="str">
        <f>IF('INPUT DATA'!K59="","",'INPUT DATA'!K59)</f>
        <v/>
      </c>
      <c r="D62" s="79"/>
      <c r="E62" s="79"/>
      <c r="F62" s="88" t="str">
        <f>IF('TERM 1'!AC66="","",'TERM 1'!AC66)</f>
        <v/>
      </c>
      <c r="G62" s="89" t="str">
        <f>IF('TERM 2'!AC66="","",'TERM 2'!AC66)</f>
        <v/>
      </c>
      <c r="H62" s="90" t="str">
        <f>IF('TERM 3'!AC66="","",'TERM 3'!AC66)</f>
        <v/>
      </c>
      <c r="I62" s="95" t="str">
        <f t="shared" si="0"/>
        <v/>
      </c>
      <c r="J62" s="92" t="str">
        <f>IF(I62="","",IFERROR(INDEX(HELPER!$G$8:$G$48,MATCH(I62,HELPER!$F$8:$F$48,-1)),""))</f>
        <v/>
      </c>
      <c r="K62" s="93"/>
      <c r="L62" s="46"/>
      <c r="M62" s="46"/>
    </row>
    <row r="63" ht="15" customHeight="1" spans="1:13">
      <c r="A63" s="46"/>
      <c r="B63" s="96">
        <v>50</v>
      </c>
      <c r="C63" s="97" t="str">
        <f>IF('INPUT DATA'!K60="","",'INPUT DATA'!K60)</f>
        <v/>
      </c>
      <c r="D63" s="98"/>
      <c r="E63" s="98"/>
      <c r="F63" s="99" t="str">
        <f>IF('TERM 1'!AC67="","",'TERM 1'!AC67)</f>
        <v/>
      </c>
      <c r="G63" s="100" t="str">
        <f>IF('TERM 2'!AC67="","",'TERM 2'!AC67)</f>
        <v/>
      </c>
      <c r="H63" s="101" t="str">
        <f>IF('TERM 3'!AC67="","",'TERM 3'!AC67)</f>
        <v/>
      </c>
      <c r="I63" s="102" t="str">
        <f t="shared" si="0"/>
        <v/>
      </c>
      <c r="J63" s="103" t="str">
        <f>IF(I63="","",IFERROR(INDEX(HELPER!$G$8:$G$48,MATCH(I63,HELPER!$F$8:$F$48,-1)),""))</f>
        <v/>
      </c>
      <c r="K63" s="104"/>
      <c r="L63" s="46"/>
      <c r="M63" s="46"/>
    </row>
    <row r="64" ht="14.4" customHeight="1" spans="1:13">
      <c r="A64" s="46"/>
      <c r="B64" s="105" t="s">
        <v>6</v>
      </c>
      <c r="C64" s="66"/>
      <c r="D64" s="66"/>
      <c r="E64" s="66"/>
      <c r="H64" s="66"/>
      <c r="J64" s="66"/>
      <c r="K64" s="67"/>
      <c r="L64" s="46"/>
      <c r="M64" s="46"/>
    </row>
    <row r="65" ht="15" customHeight="1" spans="1:13">
      <c r="A65" s="46"/>
      <c r="B65" s="106">
        <v>1</v>
      </c>
      <c r="C65" s="78" t="str">
        <f>IF('INPUT DATA'!N11="","",'INPUT DATA'!N11)</f>
        <v/>
      </c>
      <c r="D65" s="79"/>
      <c r="E65" s="79"/>
      <c r="F65" s="80" t="str">
        <f>IF('TERM 1'!AC69="","",'TERM 1'!AC69)</f>
        <v/>
      </c>
      <c r="G65" s="81" t="str">
        <f>IF('TERM 2'!AC69="","",'TERM 2'!AC69)</f>
        <v/>
      </c>
      <c r="H65" s="82" t="str">
        <f>IF('TERM 3'!AC69="","",'TERM 3'!AC69)</f>
        <v/>
      </c>
      <c r="I65" s="83" t="str">
        <f t="shared" si="0"/>
        <v/>
      </c>
      <c r="J65" s="107" t="str">
        <f>IF(I65="","",IFERROR(INDEX(HELPER!$G$8:$G$48,MATCH(I65,HELPER!$F$8:$F$48,-1)),""))</f>
        <v/>
      </c>
      <c r="K65" s="108"/>
      <c r="L65" s="46"/>
      <c r="M65" s="46"/>
    </row>
    <row r="66" ht="15" customHeight="1" spans="1:13">
      <c r="A66" s="46"/>
      <c r="B66" s="109">
        <v>2</v>
      </c>
      <c r="C66" s="78" t="str">
        <f>IF('INPUT DATA'!N12="","",'INPUT DATA'!N12)</f>
        <v/>
      </c>
      <c r="D66" s="79"/>
      <c r="E66" s="79"/>
      <c r="F66" s="88" t="str">
        <f>IF('TERM 1'!AC70="","",'TERM 1'!AC70)</f>
        <v/>
      </c>
      <c r="G66" s="89" t="str">
        <f>IF('TERM 2'!AC70="","",'TERM 2'!AC70)</f>
        <v/>
      </c>
      <c r="H66" s="110" t="str">
        <f>IF('TERM 3'!AC70="","",'TERM 3'!AC70)</f>
        <v/>
      </c>
      <c r="I66" s="95" t="str">
        <f t="shared" si="0"/>
        <v/>
      </c>
      <c r="J66" s="92" t="str">
        <f>IF(I66="","",IFERROR(INDEX(HELPER!$G$8:$G$48,MATCH(I66,HELPER!$F$8:$F$48,-1)),""))</f>
        <v/>
      </c>
      <c r="K66" s="93"/>
      <c r="L66" s="46"/>
      <c r="M66" s="46"/>
    </row>
    <row r="67" ht="15" customHeight="1" spans="1:13">
      <c r="A67" s="46"/>
      <c r="B67" s="109">
        <v>3</v>
      </c>
      <c r="C67" s="78" t="str">
        <f>IF('INPUT DATA'!N13="","",'INPUT DATA'!N13)</f>
        <v/>
      </c>
      <c r="D67" s="79"/>
      <c r="E67" s="79"/>
      <c r="F67" s="88" t="str">
        <f>IF('TERM 1'!AC71="","",'TERM 1'!AC71)</f>
        <v/>
      </c>
      <c r="G67" s="89" t="str">
        <f>IF('TERM 2'!AC71="","",'TERM 2'!AC71)</f>
        <v/>
      </c>
      <c r="H67" s="110" t="str">
        <f>IF('TERM 3'!AC71="","",'TERM 3'!AC71)</f>
        <v/>
      </c>
      <c r="I67" s="95" t="str">
        <f t="shared" si="0"/>
        <v/>
      </c>
      <c r="J67" s="92" t="str">
        <f>IF(I67="","",IFERROR(INDEX(HELPER!$G$8:$G$48,MATCH(I67,HELPER!$F$8:$F$48,-1)),""))</f>
        <v/>
      </c>
      <c r="K67" s="93"/>
      <c r="L67" s="46"/>
      <c r="M67" s="46"/>
    </row>
    <row r="68" ht="15" customHeight="1" spans="1:13">
      <c r="A68" s="46"/>
      <c r="B68" s="109">
        <v>4</v>
      </c>
      <c r="C68" s="78" t="str">
        <f>IF('INPUT DATA'!N14="","",'INPUT DATA'!N14)</f>
        <v/>
      </c>
      <c r="D68" s="79"/>
      <c r="E68" s="79"/>
      <c r="F68" s="88" t="str">
        <f>IF('TERM 1'!AC72="","",'TERM 1'!AC72)</f>
        <v/>
      </c>
      <c r="G68" s="89" t="str">
        <f>IF('TERM 2'!AC72="","",'TERM 2'!AC72)</f>
        <v/>
      </c>
      <c r="H68" s="110" t="str">
        <f>IF('TERM 3'!AC72="","",'TERM 3'!AC72)</f>
        <v/>
      </c>
      <c r="I68" s="95" t="str">
        <f t="shared" si="0"/>
        <v/>
      </c>
      <c r="J68" s="92" t="str">
        <f>IF(I68="","",IFERROR(INDEX(HELPER!$G$8:$G$48,MATCH(I68,HELPER!$F$8:$F$48,-1)),""))</f>
        <v/>
      </c>
      <c r="K68" s="93"/>
      <c r="L68" s="46"/>
      <c r="M68" s="46"/>
    </row>
    <row r="69" ht="15" customHeight="1" spans="1:13">
      <c r="A69" s="46"/>
      <c r="B69" s="109">
        <v>5</v>
      </c>
      <c r="C69" s="78" t="str">
        <f>IF('INPUT DATA'!N15="","",'INPUT DATA'!N15)</f>
        <v/>
      </c>
      <c r="D69" s="79"/>
      <c r="E69" s="79"/>
      <c r="F69" s="88" t="str">
        <f>IF('TERM 1'!AC73="","",'TERM 1'!AC73)</f>
        <v/>
      </c>
      <c r="G69" s="89" t="str">
        <f>IF('TERM 2'!AC73="","",'TERM 2'!AC73)</f>
        <v/>
      </c>
      <c r="H69" s="110" t="str">
        <f>IF('TERM 3'!AC73="","",'TERM 3'!AC73)</f>
        <v/>
      </c>
      <c r="I69" s="95" t="str">
        <f t="shared" si="0"/>
        <v/>
      </c>
      <c r="J69" s="92" t="str">
        <f>IF(I69="","",IFERROR(INDEX(HELPER!$G$8:$G$48,MATCH(I69,HELPER!$F$8:$F$48,-1)),""))</f>
        <v/>
      </c>
      <c r="K69" s="93"/>
      <c r="L69" s="46"/>
      <c r="M69" s="46"/>
    </row>
    <row r="70" ht="15" customHeight="1" spans="1:13">
      <c r="A70" s="46"/>
      <c r="B70" s="109">
        <v>6</v>
      </c>
      <c r="C70" s="78" t="str">
        <f>IF('INPUT DATA'!N16="","",'INPUT DATA'!N16)</f>
        <v/>
      </c>
      <c r="D70" s="79"/>
      <c r="E70" s="79"/>
      <c r="F70" s="88" t="str">
        <f>IF('TERM 1'!AC74="","",'TERM 1'!AC74)</f>
        <v/>
      </c>
      <c r="G70" s="89" t="str">
        <f>IF('TERM 2'!AC74="","",'TERM 2'!AC74)</f>
        <v/>
      </c>
      <c r="H70" s="110" t="str">
        <f>IF('TERM 3'!AC74="","",'TERM 3'!AC74)</f>
        <v/>
      </c>
      <c r="I70" s="95" t="str">
        <f t="shared" si="0"/>
        <v/>
      </c>
      <c r="J70" s="92" t="str">
        <f>IF(I70="","",IFERROR(INDEX(HELPER!$G$8:$G$48,MATCH(I70,HELPER!$F$8:$F$48,-1)),""))</f>
        <v/>
      </c>
      <c r="K70" s="93"/>
      <c r="L70" s="46"/>
      <c r="M70" s="46"/>
    </row>
    <row r="71" ht="15" customHeight="1" spans="1:13">
      <c r="A71" s="46"/>
      <c r="B71" s="109">
        <v>7</v>
      </c>
      <c r="C71" s="78" t="str">
        <f>IF('INPUT DATA'!N17="","",'INPUT DATA'!N17)</f>
        <v/>
      </c>
      <c r="D71" s="79"/>
      <c r="E71" s="79"/>
      <c r="F71" s="88" t="str">
        <f>IF('TERM 1'!AC75="","",'TERM 1'!AC75)</f>
        <v/>
      </c>
      <c r="G71" s="89" t="str">
        <f>IF('TERM 2'!AC75="","",'TERM 2'!AC75)</f>
        <v/>
      </c>
      <c r="H71" s="110" t="str">
        <f>IF('TERM 3'!AC75="","",'TERM 3'!AC75)</f>
        <v/>
      </c>
      <c r="I71" s="95" t="str">
        <f t="shared" si="0"/>
        <v/>
      </c>
      <c r="J71" s="92" t="str">
        <f>IF(I71="","",IFERROR(INDEX(HELPER!$G$8:$G$48,MATCH(I71,HELPER!$F$8:$F$48,-1)),""))</f>
        <v/>
      </c>
      <c r="K71" s="93"/>
      <c r="L71" s="46"/>
      <c r="M71" s="46"/>
    </row>
    <row r="72" ht="15" customHeight="1" spans="1:13">
      <c r="A72" s="46"/>
      <c r="B72" s="109">
        <v>8</v>
      </c>
      <c r="C72" s="78" t="str">
        <f>IF('INPUT DATA'!N18="","",'INPUT DATA'!N18)</f>
        <v/>
      </c>
      <c r="D72" s="79"/>
      <c r="E72" s="79"/>
      <c r="F72" s="88" t="str">
        <f>IF('TERM 1'!AC76="","",'TERM 1'!AC76)</f>
        <v/>
      </c>
      <c r="G72" s="89" t="str">
        <f>IF('TERM 2'!AC76="","",'TERM 2'!AC76)</f>
        <v/>
      </c>
      <c r="H72" s="110" t="str">
        <f>IF('TERM 3'!AC76="","",'TERM 3'!AC76)</f>
        <v/>
      </c>
      <c r="I72" s="95" t="str">
        <f t="shared" si="0"/>
        <v/>
      </c>
      <c r="J72" s="92" t="str">
        <f>IF(I72="","",IFERROR(INDEX(HELPER!$G$8:$G$48,MATCH(I72,HELPER!$F$8:$F$48,-1)),""))</f>
        <v/>
      </c>
      <c r="K72" s="93"/>
      <c r="L72" s="46"/>
      <c r="M72" s="46"/>
    </row>
    <row r="73" ht="15" customHeight="1" spans="1:13">
      <c r="A73" s="46"/>
      <c r="B73" s="109">
        <v>9</v>
      </c>
      <c r="C73" s="78" t="str">
        <f>IF('INPUT DATA'!N19="","",'INPUT DATA'!N19)</f>
        <v/>
      </c>
      <c r="D73" s="79"/>
      <c r="E73" s="79"/>
      <c r="F73" s="88" t="str">
        <f>IF('TERM 1'!AC77="","",'TERM 1'!AC77)</f>
        <v/>
      </c>
      <c r="G73" s="89" t="str">
        <f>IF('TERM 2'!AC77="","",'TERM 2'!AC77)</f>
        <v/>
      </c>
      <c r="H73" s="110" t="str">
        <f>IF('TERM 3'!AC77="","",'TERM 3'!AC77)</f>
        <v/>
      </c>
      <c r="I73" s="95" t="str">
        <f t="shared" si="0"/>
        <v/>
      </c>
      <c r="J73" s="92" t="str">
        <f>IF(I73="","",IFERROR(INDEX(HELPER!$G$8:$G$48,MATCH(I73,HELPER!$F$8:$F$48,-1)),""))</f>
        <v/>
      </c>
      <c r="K73" s="93"/>
      <c r="L73" s="46"/>
      <c r="M73" s="46"/>
    </row>
    <row r="74" ht="15" customHeight="1" spans="1:13">
      <c r="A74" s="46"/>
      <c r="B74" s="109">
        <v>10</v>
      </c>
      <c r="C74" s="78" t="str">
        <f>IF('INPUT DATA'!N20="","",'INPUT DATA'!N20)</f>
        <v/>
      </c>
      <c r="D74" s="79"/>
      <c r="E74" s="79"/>
      <c r="F74" s="88" t="str">
        <f>IF('TERM 1'!AC78="","",'TERM 1'!AC78)</f>
        <v/>
      </c>
      <c r="G74" s="89" t="str">
        <f>IF('TERM 2'!AC78="","",'TERM 2'!AC78)</f>
        <v/>
      </c>
      <c r="H74" s="110" t="str">
        <f>IF('TERM 3'!AC78="","",'TERM 3'!AC78)</f>
        <v/>
      </c>
      <c r="I74" s="95" t="str">
        <f t="shared" si="0"/>
        <v/>
      </c>
      <c r="J74" s="92" t="str">
        <f>IF(I74="","",IFERROR(INDEX(HELPER!$G$8:$G$48,MATCH(I74,HELPER!$F$8:$F$48,-1)),""))</f>
        <v/>
      </c>
      <c r="K74" s="93"/>
      <c r="L74" s="46"/>
      <c r="M74" s="46"/>
    </row>
    <row r="75" ht="15" customHeight="1" spans="1:13">
      <c r="A75" s="46"/>
      <c r="B75" s="109">
        <v>11</v>
      </c>
      <c r="C75" s="78" t="str">
        <f>IF('INPUT DATA'!N21="","",'INPUT DATA'!N21)</f>
        <v/>
      </c>
      <c r="D75" s="79"/>
      <c r="E75" s="79"/>
      <c r="F75" s="88" t="str">
        <f>IF('TERM 1'!AC79="","",'TERM 1'!AC79)</f>
        <v/>
      </c>
      <c r="G75" s="89" t="str">
        <f>IF('TERM 2'!AC79="","",'TERM 2'!AC79)</f>
        <v/>
      </c>
      <c r="H75" s="110" t="str">
        <f>IF('TERM 3'!AC79="","",'TERM 3'!AC79)</f>
        <v/>
      </c>
      <c r="I75" s="95" t="str">
        <f t="shared" si="0"/>
        <v/>
      </c>
      <c r="J75" s="92" t="str">
        <f>IF(I75="","",IFERROR(INDEX(HELPER!$G$8:$G$48,MATCH(I75,HELPER!$F$8:$F$48,-1)),""))</f>
        <v/>
      </c>
      <c r="K75" s="93"/>
      <c r="L75" s="46"/>
      <c r="M75" s="46"/>
    </row>
    <row r="76" ht="15" customHeight="1" spans="1:13">
      <c r="A76" s="46"/>
      <c r="B76" s="109">
        <v>12</v>
      </c>
      <c r="C76" s="78" t="str">
        <f>IF('INPUT DATA'!N22="","",'INPUT DATA'!N22)</f>
        <v/>
      </c>
      <c r="D76" s="79"/>
      <c r="E76" s="79"/>
      <c r="F76" s="88" t="str">
        <f>IF('TERM 1'!AC80="","",'TERM 1'!AC80)</f>
        <v/>
      </c>
      <c r="G76" s="89" t="str">
        <f>IF('TERM 2'!AC80="","",'TERM 2'!AC80)</f>
        <v/>
      </c>
      <c r="H76" s="110" t="str">
        <f>IF('TERM 3'!AC80="","",'TERM 3'!AC80)</f>
        <v/>
      </c>
      <c r="I76" s="95" t="str">
        <f t="shared" si="0"/>
        <v/>
      </c>
      <c r="J76" s="92" t="str">
        <f>IF(I76="","",IFERROR(INDEX(HELPER!$G$8:$G$48,MATCH(I76,HELPER!$F$8:$F$48,-1)),""))</f>
        <v/>
      </c>
      <c r="K76" s="93"/>
      <c r="L76" s="46"/>
      <c r="M76" s="46"/>
    </row>
    <row r="77" ht="15" customHeight="1" spans="1:13">
      <c r="A77" s="46"/>
      <c r="B77" s="109">
        <v>13</v>
      </c>
      <c r="C77" s="78" t="str">
        <f>IF('INPUT DATA'!N23="","",'INPUT DATA'!N23)</f>
        <v/>
      </c>
      <c r="D77" s="79"/>
      <c r="E77" s="79"/>
      <c r="F77" s="88" t="str">
        <f>IF('TERM 1'!AC81="","",'TERM 1'!AC81)</f>
        <v/>
      </c>
      <c r="G77" s="89" t="str">
        <f>IF('TERM 2'!AC81="","",'TERM 2'!AC81)</f>
        <v/>
      </c>
      <c r="H77" s="110" t="str">
        <f>IF('TERM 3'!AC81="","",'TERM 3'!AC81)</f>
        <v/>
      </c>
      <c r="I77" s="95" t="str">
        <f t="shared" si="0"/>
        <v/>
      </c>
      <c r="J77" s="92" t="str">
        <f>IF(I77="","",IFERROR(INDEX(HELPER!$G$8:$G$48,MATCH(I77,HELPER!$F$8:$F$48,-1)),""))</f>
        <v/>
      </c>
      <c r="K77" s="93"/>
      <c r="L77" s="46"/>
      <c r="M77" s="46"/>
    </row>
    <row r="78" ht="15" customHeight="1" spans="1:13">
      <c r="A78" s="46"/>
      <c r="B78" s="109">
        <v>14</v>
      </c>
      <c r="C78" s="78" t="str">
        <f>IF('INPUT DATA'!N24="","",'INPUT DATA'!N24)</f>
        <v/>
      </c>
      <c r="D78" s="79"/>
      <c r="E78" s="79"/>
      <c r="F78" s="88" t="str">
        <f>IF('TERM 1'!AC82="","",'TERM 1'!AC82)</f>
        <v/>
      </c>
      <c r="G78" s="89" t="str">
        <f>IF('TERM 2'!AC82="","",'TERM 2'!AC82)</f>
        <v/>
      </c>
      <c r="H78" s="110" t="str">
        <f>IF('TERM 3'!AC82="","",'TERM 3'!AC82)</f>
        <v/>
      </c>
      <c r="I78" s="95" t="str">
        <f t="shared" si="0"/>
        <v/>
      </c>
      <c r="J78" s="92" t="str">
        <f>IF(I78="","",IFERROR(INDEX(HELPER!$G$8:$G$48,MATCH(I78,HELPER!$F$8:$F$48,-1)),""))</f>
        <v/>
      </c>
      <c r="K78" s="93"/>
      <c r="L78" s="46"/>
      <c r="M78" s="46"/>
    </row>
    <row r="79" ht="15" customHeight="1" spans="1:13">
      <c r="A79" s="46"/>
      <c r="B79" s="109">
        <v>15</v>
      </c>
      <c r="C79" s="78" t="str">
        <f>IF('INPUT DATA'!N25="","",'INPUT DATA'!N25)</f>
        <v/>
      </c>
      <c r="D79" s="79"/>
      <c r="E79" s="79"/>
      <c r="F79" s="88" t="str">
        <f>IF('TERM 1'!AC83="","",'TERM 1'!AC83)</f>
        <v/>
      </c>
      <c r="G79" s="89" t="str">
        <f>IF('TERM 2'!AC83="","",'TERM 2'!AC83)</f>
        <v/>
      </c>
      <c r="H79" s="110" t="str">
        <f>IF('TERM 3'!AC83="","",'TERM 3'!AC83)</f>
        <v/>
      </c>
      <c r="I79" s="95" t="str">
        <f t="shared" ref="I79:I114" si="1">IF(COUNT(F79,G79,H79)&lt;3,"",ROUND(AVERAGE(F79,G79,H79),0))</f>
        <v/>
      </c>
      <c r="J79" s="92" t="str">
        <f>IF(I79="","",IFERROR(INDEX(HELPER!$G$8:$G$48,MATCH(I79,HELPER!$F$8:$F$48,-1)),""))</f>
        <v/>
      </c>
      <c r="K79" s="93"/>
      <c r="L79" s="46"/>
      <c r="M79" s="46"/>
    </row>
    <row r="80" ht="15" customHeight="1" spans="1:13">
      <c r="A80" s="46"/>
      <c r="B80" s="109">
        <v>16</v>
      </c>
      <c r="C80" s="78" t="str">
        <f>IF('INPUT DATA'!N26="","",'INPUT DATA'!N26)</f>
        <v/>
      </c>
      <c r="D80" s="79"/>
      <c r="E80" s="79"/>
      <c r="F80" s="88" t="str">
        <f>IF('TERM 1'!AC84="","",'TERM 1'!AC84)</f>
        <v/>
      </c>
      <c r="G80" s="89" t="str">
        <f>IF('TERM 2'!AC84="","",'TERM 2'!AC84)</f>
        <v/>
      </c>
      <c r="H80" s="110" t="str">
        <f>IF('TERM 3'!AC84="","",'TERM 3'!AC84)</f>
        <v/>
      </c>
      <c r="I80" s="95" t="str">
        <f t="shared" si="1"/>
        <v/>
      </c>
      <c r="J80" s="92" t="str">
        <f>IF(I80="","",IFERROR(INDEX(HELPER!$G$8:$G$48,MATCH(I80,HELPER!$F$8:$F$48,-1)),""))</f>
        <v/>
      </c>
      <c r="K80" s="93"/>
      <c r="L80" s="46"/>
      <c r="M80" s="46"/>
    </row>
    <row r="81" ht="15" customHeight="1" spans="1:13">
      <c r="A81" s="46"/>
      <c r="B81" s="109">
        <v>17</v>
      </c>
      <c r="C81" s="78" t="str">
        <f>IF('INPUT DATA'!N27="","",'INPUT DATA'!N27)</f>
        <v/>
      </c>
      <c r="D81" s="79"/>
      <c r="E81" s="79"/>
      <c r="F81" s="88" t="str">
        <f>IF('TERM 1'!AC85="","",'TERM 1'!AC85)</f>
        <v/>
      </c>
      <c r="G81" s="89" t="str">
        <f>IF('TERM 2'!AC85="","",'TERM 2'!AC85)</f>
        <v/>
      </c>
      <c r="H81" s="110" t="str">
        <f>IF('TERM 3'!AC85="","",'TERM 3'!AC85)</f>
        <v/>
      </c>
      <c r="I81" s="95" t="str">
        <f t="shared" si="1"/>
        <v/>
      </c>
      <c r="J81" s="92" t="str">
        <f>IF(I81="","",IFERROR(INDEX(HELPER!$G$8:$G$48,MATCH(I81,HELPER!$F$8:$F$48,-1)),""))</f>
        <v/>
      </c>
      <c r="K81" s="93"/>
      <c r="L81" s="46"/>
      <c r="M81" s="46"/>
    </row>
    <row r="82" ht="15" customHeight="1" spans="1:13">
      <c r="A82" s="46"/>
      <c r="B82" s="109">
        <v>18</v>
      </c>
      <c r="C82" s="78" t="str">
        <f>IF('INPUT DATA'!N28="","",'INPUT DATA'!N28)</f>
        <v/>
      </c>
      <c r="D82" s="79"/>
      <c r="E82" s="79"/>
      <c r="F82" s="88" t="str">
        <f>IF('TERM 1'!AC86="","",'TERM 1'!AC86)</f>
        <v/>
      </c>
      <c r="G82" s="89" t="str">
        <f>IF('TERM 2'!AC86="","",'TERM 2'!AC86)</f>
        <v/>
      </c>
      <c r="H82" s="110" t="str">
        <f>IF('TERM 3'!AC86="","",'TERM 3'!AC86)</f>
        <v/>
      </c>
      <c r="I82" s="95" t="str">
        <f t="shared" si="1"/>
        <v/>
      </c>
      <c r="J82" s="92" t="str">
        <f>IF(I82="","",IFERROR(INDEX(HELPER!$G$8:$G$48,MATCH(I82,HELPER!$F$8:$F$48,-1)),""))</f>
        <v/>
      </c>
      <c r="K82" s="93"/>
      <c r="L82" s="46"/>
      <c r="M82" s="46"/>
    </row>
    <row r="83" ht="15" customHeight="1" spans="1:13">
      <c r="A83" s="46"/>
      <c r="B83" s="109">
        <v>19</v>
      </c>
      <c r="C83" s="78" t="str">
        <f>IF('INPUT DATA'!N29="","",'INPUT DATA'!N29)</f>
        <v/>
      </c>
      <c r="D83" s="79"/>
      <c r="E83" s="79"/>
      <c r="F83" s="88" t="str">
        <f>IF('TERM 1'!AC87="","",'TERM 1'!AC87)</f>
        <v/>
      </c>
      <c r="G83" s="89" t="str">
        <f>IF('TERM 2'!AC87="","",'TERM 2'!AC87)</f>
        <v/>
      </c>
      <c r="H83" s="110" t="str">
        <f>IF('TERM 3'!AC87="","",'TERM 3'!AC87)</f>
        <v/>
      </c>
      <c r="I83" s="95" t="str">
        <f t="shared" si="1"/>
        <v/>
      </c>
      <c r="J83" s="92" t="str">
        <f>IF(I83="","",IFERROR(INDEX(HELPER!$G$8:$G$48,MATCH(I83,HELPER!$F$8:$F$48,-1)),""))</f>
        <v/>
      </c>
      <c r="K83" s="93"/>
      <c r="L83" s="46"/>
      <c r="M83" s="46"/>
    </row>
    <row r="84" ht="15" customHeight="1" spans="1:13">
      <c r="A84" s="46"/>
      <c r="B84" s="111">
        <v>20</v>
      </c>
      <c r="C84" s="78" t="str">
        <f>IF('INPUT DATA'!N30="","",'INPUT DATA'!N30)</f>
        <v/>
      </c>
      <c r="D84" s="79"/>
      <c r="E84" s="79"/>
      <c r="F84" s="88" t="str">
        <f>IF('TERM 1'!AC88="","",'TERM 1'!AC88)</f>
        <v/>
      </c>
      <c r="G84" s="89" t="str">
        <f>IF('TERM 2'!AC88="","",'TERM 2'!AC88)</f>
        <v/>
      </c>
      <c r="H84" s="110" t="str">
        <f>IF('TERM 3'!AC88="","",'TERM 3'!AC88)</f>
        <v/>
      </c>
      <c r="I84" s="95" t="str">
        <f t="shared" si="1"/>
        <v/>
      </c>
      <c r="J84" s="92" t="str">
        <f>IF(I84="","",IFERROR(INDEX(HELPER!$G$8:$G$48,MATCH(I84,HELPER!$F$8:$F$48,-1)),""))</f>
        <v/>
      </c>
      <c r="K84" s="93"/>
      <c r="L84" s="46"/>
      <c r="M84" s="46"/>
    </row>
    <row r="85" ht="15" customHeight="1" spans="1:13">
      <c r="A85" s="46"/>
      <c r="B85" s="111">
        <v>21</v>
      </c>
      <c r="C85" s="78" t="str">
        <f>IF('INPUT DATA'!N31="","",'INPUT DATA'!N31)</f>
        <v/>
      </c>
      <c r="D85" s="79"/>
      <c r="E85" s="79"/>
      <c r="F85" s="88" t="str">
        <f>IF('TERM 1'!AC89="","",'TERM 1'!AC89)</f>
        <v/>
      </c>
      <c r="G85" s="89" t="str">
        <f>IF('TERM 2'!AC89="","",'TERM 2'!AC89)</f>
        <v/>
      </c>
      <c r="H85" s="110" t="str">
        <f>IF('TERM 3'!AC89="","",'TERM 3'!AC89)</f>
        <v/>
      </c>
      <c r="I85" s="95" t="str">
        <f t="shared" si="1"/>
        <v/>
      </c>
      <c r="J85" s="92" t="str">
        <f>IF(I85="","",IFERROR(INDEX(HELPER!$G$8:$G$48,MATCH(I85,HELPER!$F$8:$F$48,-1)),""))</f>
        <v/>
      </c>
      <c r="K85" s="93"/>
      <c r="L85" s="46"/>
      <c r="M85" s="46"/>
    </row>
    <row r="86" ht="15" customHeight="1" spans="1:13">
      <c r="A86" s="46"/>
      <c r="B86" s="111">
        <v>22</v>
      </c>
      <c r="C86" s="78" t="str">
        <f>IF('INPUT DATA'!N32="","",'INPUT DATA'!N32)</f>
        <v/>
      </c>
      <c r="D86" s="79"/>
      <c r="E86" s="79"/>
      <c r="F86" s="88" t="str">
        <f>IF('TERM 1'!AC90="","",'TERM 1'!AC90)</f>
        <v/>
      </c>
      <c r="G86" s="89" t="str">
        <f>IF('TERM 2'!AC90="","",'TERM 2'!AC90)</f>
        <v/>
      </c>
      <c r="H86" s="110" t="str">
        <f>IF('TERM 3'!AC90="","",'TERM 3'!AC90)</f>
        <v/>
      </c>
      <c r="I86" s="95" t="str">
        <f t="shared" si="1"/>
        <v/>
      </c>
      <c r="J86" s="92" t="str">
        <f>IF(I86="","",IFERROR(INDEX(HELPER!$G$8:$G$48,MATCH(I86,HELPER!$F$8:$F$48,-1)),""))</f>
        <v/>
      </c>
      <c r="K86" s="93"/>
      <c r="L86" s="46"/>
      <c r="M86" s="46"/>
    </row>
    <row r="87" ht="15" customHeight="1" spans="1:13">
      <c r="A87" s="46"/>
      <c r="B87" s="111">
        <v>23</v>
      </c>
      <c r="C87" s="78" t="str">
        <f>IF('INPUT DATA'!N33="","",'INPUT DATA'!N33)</f>
        <v/>
      </c>
      <c r="D87" s="79"/>
      <c r="E87" s="79"/>
      <c r="F87" s="88" t="str">
        <f>IF('TERM 1'!AC91="","",'TERM 1'!AC91)</f>
        <v/>
      </c>
      <c r="G87" s="89" t="str">
        <f>IF('TERM 2'!AC91="","",'TERM 2'!AC91)</f>
        <v/>
      </c>
      <c r="H87" s="110" t="str">
        <f>IF('TERM 3'!AC91="","",'TERM 3'!AC91)</f>
        <v/>
      </c>
      <c r="I87" s="95" t="str">
        <f t="shared" si="1"/>
        <v/>
      </c>
      <c r="J87" s="92" t="str">
        <f>IF(I87="","",IFERROR(INDEX(HELPER!$G$8:$G$48,MATCH(I87,HELPER!$F$8:$F$48,-1)),""))</f>
        <v/>
      </c>
      <c r="K87" s="93"/>
      <c r="L87" s="46"/>
      <c r="M87" s="46"/>
    </row>
    <row r="88" ht="15" customHeight="1" spans="1:13">
      <c r="A88" s="46"/>
      <c r="B88" s="111">
        <v>24</v>
      </c>
      <c r="C88" s="78" t="str">
        <f>IF('INPUT DATA'!N34="","",'INPUT DATA'!N34)</f>
        <v/>
      </c>
      <c r="D88" s="79"/>
      <c r="E88" s="79"/>
      <c r="F88" s="88" t="str">
        <f>IF('TERM 1'!AC92="","",'TERM 1'!AC92)</f>
        <v/>
      </c>
      <c r="G88" s="89" t="str">
        <f>IF('TERM 2'!AC92="","",'TERM 2'!AC92)</f>
        <v/>
      </c>
      <c r="H88" s="110" t="str">
        <f>IF('TERM 3'!AC92="","",'TERM 3'!AC92)</f>
        <v/>
      </c>
      <c r="I88" s="95" t="str">
        <f t="shared" si="1"/>
        <v/>
      </c>
      <c r="J88" s="92" t="str">
        <f>IF(I88="","",IFERROR(INDEX(HELPER!$G$8:$G$48,MATCH(I88,HELPER!$F$8:$F$48,-1)),""))</f>
        <v/>
      </c>
      <c r="K88" s="93"/>
      <c r="L88" s="46"/>
      <c r="M88" s="46"/>
    </row>
    <row r="89" ht="15" customHeight="1" spans="1:13">
      <c r="A89" s="46"/>
      <c r="B89" s="111">
        <v>25</v>
      </c>
      <c r="C89" s="78" t="str">
        <f>IF('INPUT DATA'!N35="","",'INPUT DATA'!N35)</f>
        <v/>
      </c>
      <c r="D89" s="79"/>
      <c r="E89" s="79"/>
      <c r="F89" s="88" t="str">
        <f>IF('TERM 1'!AC93="","",'TERM 1'!AC93)</f>
        <v/>
      </c>
      <c r="G89" s="89" t="str">
        <f>IF('TERM 2'!AC93="","",'TERM 2'!AC93)</f>
        <v/>
      </c>
      <c r="H89" s="110" t="str">
        <f>IF('TERM 3'!AC93="","",'TERM 3'!AC93)</f>
        <v/>
      </c>
      <c r="I89" s="95" t="str">
        <f t="shared" si="1"/>
        <v/>
      </c>
      <c r="J89" s="92" t="str">
        <f>IF(I89="","",IFERROR(INDEX(HELPER!$G$8:$G$48,MATCH(I89,HELPER!$F$8:$F$48,-1)),""))</f>
        <v/>
      </c>
      <c r="K89" s="93"/>
      <c r="L89" s="46"/>
      <c r="M89" s="46"/>
    </row>
    <row r="90" ht="15" customHeight="1" spans="1:13">
      <c r="A90" s="46"/>
      <c r="B90" s="111">
        <v>26</v>
      </c>
      <c r="C90" s="78" t="str">
        <f>IF('INPUT DATA'!N36="","",'INPUT DATA'!N36)</f>
        <v/>
      </c>
      <c r="D90" s="79"/>
      <c r="E90" s="79"/>
      <c r="F90" s="88" t="str">
        <f>IF('TERM 1'!AC94="","",'TERM 1'!AC94)</f>
        <v/>
      </c>
      <c r="G90" s="89" t="str">
        <f>IF('TERM 2'!AC94="","",'TERM 2'!AC94)</f>
        <v/>
      </c>
      <c r="H90" s="110" t="str">
        <f>IF('TERM 3'!AC94="","",'TERM 3'!AC94)</f>
        <v/>
      </c>
      <c r="I90" s="95" t="str">
        <f t="shared" si="1"/>
        <v/>
      </c>
      <c r="J90" s="92" t="str">
        <f>IF(I90="","",IFERROR(INDEX(HELPER!$G$8:$G$48,MATCH(I90,HELPER!$F$8:$F$48,-1)),""))</f>
        <v/>
      </c>
      <c r="K90" s="93"/>
      <c r="L90" s="46"/>
      <c r="M90" s="46"/>
    </row>
    <row r="91" ht="15" customHeight="1" spans="1:13">
      <c r="A91" s="46"/>
      <c r="B91" s="111">
        <v>27</v>
      </c>
      <c r="C91" s="78" t="str">
        <f>IF('INPUT DATA'!N37="","",'INPUT DATA'!N37)</f>
        <v/>
      </c>
      <c r="D91" s="79"/>
      <c r="E91" s="79"/>
      <c r="F91" s="88" t="str">
        <f>IF('TERM 1'!AC95="","",'TERM 1'!AC95)</f>
        <v/>
      </c>
      <c r="G91" s="89" t="str">
        <f>IF('TERM 2'!AC95="","",'TERM 2'!AC95)</f>
        <v/>
      </c>
      <c r="H91" s="110" t="str">
        <f>IF('TERM 3'!AC95="","",'TERM 3'!AC95)</f>
        <v/>
      </c>
      <c r="I91" s="95" t="str">
        <f t="shared" si="1"/>
        <v/>
      </c>
      <c r="J91" s="92" t="str">
        <f>IF(I91="","",IFERROR(INDEX(HELPER!$G$8:$G$48,MATCH(I91,HELPER!$F$8:$F$48,-1)),""))</f>
        <v/>
      </c>
      <c r="K91" s="93"/>
      <c r="L91" s="46"/>
      <c r="M91" s="46"/>
    </row>
    <row r="92" ht="15" customHeight="1" spans="1:13">
      <c r="A92" s="46"/>
      <c r="B92" s="111">
        <v>28</v>
      </c>
      <c r="C92" s="78" t="str">
        <f>IF('INPUT DATA'!N38="","",'INPUT DATA'!N38)</f>
        <v/>
      </c>
      <c r="D92" s="79"/>
      <c r="E92" s="79"/>
      <c r="F92" s="88" t="str">
        <f>IF('TERM 1'!AC96="","",'TERM 1'!AC96)</f>
        <v/>
      </c>
      <c r="G92" s="89" t="str">
        <f>IF('TERM 2'!AC96="","",'TERM 2'!AC96)</f>
        <v/>
      </c>
      <c r="H92" s="110" t="str">
        <f>IF('TERM 3'!AC96="","",'TERM 3'!AC96)</f>
        <v/>
      </c>
      <c r="I92" s="95" t="str">
        <f t="shared" si="1"/>
        <v/>
      </c>
      <c r="J92" s="92" t="str">
        <f>IF(I92="","",IFERROR(INDEX(HELPER!$G$8:$G$48,MATCH(I92,HELPER!$F$8:$F$48,-1)),""))</f>
        <v/>
      </c>
      <c r="K92" s="93"/>
      <c r="L92" s="46"/>
      <c r="M92" s="46"/>
    </row>
    <row r="93" ht="15" customHeight="1" spans="1:13">
      <c r="A93" s="46"/>
      <c r="B93" s="111">
        <v>29</v>
      </c>
      <c r="C93" s="78" t="str">
        <f>IF('INPUT DATA'!N39="","",'INPUT DATA'!N39)</f>
        <v/>
      </c>
      <c r="D93" s="79"/>
      <c r="E93" s="79"/>
      <c r="F93" s="88" t="str">
        <f>IF('TERM 1'!AC97="","",'TERM 1'!AC97)</f>
        <v/>
      </c>
      <c r="G93" s="89" t="str">
        <f>IF('TERM 2'!AC97="","",'TERM 2'!AC97)</f>
        <v/>
      </c>
      <c r="H93" s="110" t="str">
        <f>IF('TERM 3'!AC97="","",'TERM 3'!AC97)</f>
        <v/>
      </c>
      <c r="I93" s="95" t="str">
        <f t="shared" si="1"/>
        <v/>
      </c>
      <c r="J93" s="92" t="str">
        <f>IF(I93="","",IFERROR(INDEX(HELPER!$G$8:$G$48,MATCH(I93,HELPER!$F$8:$F$48,-1)),""))</f>
        <v/>
      </c>
      <c r="K93" s="93"/>
      <c r="L93" s="46"/>
      <c r="M93" s="46"/>
    </row>
    <row r="94" ht="15" customHeight="1" spans="1:13">
      <c r="A94" s="46"/>
      <c r="B94" s="111">
        <v>30</v>
      </c>
      <c r="C94" s="78" t="str">
        <f>IF('INPUT DATA'!N40="","",'INPUT DATA'!N40)</f>
        <v/>
      </c>
      <c r="D94" s="79"/>
      <c r="E94" s="79"/>
      <c r="F94" s="88" t="str">
        <f>IF('TERM 1'!AC98="","",'TERM 1'!AC98)</f>
        <v/>
      </c>
      <c r="G94" s="89" t="str">
        <f>IF('TERM 2'!AC98="","",'TERM 2'!AC98)</f>
        <v/>
      </c>
      <c r="H94" s="110" t="str">
        <f>IF('TERM 3'!AC98="","",'TERM 3'!AC98)</f>
        <v/>
      </c>
      <c r="I94" s="95" t="str">
        <f t="shared" si="1"/>
        <v/>
      </c>
      <c r="J94" s="92" t="str">
        <f>IF(I94="","",IFERROR(INDEX(HELPER!$G$8:$G$48,MATCH(I94,HELPER!$F$8:$F$48,-1)),""))</f>
        <v/>
      </c>
      <c r="K94" s="93"/>
      <c r="L94" s="46"/>
      <c r="M94" s="46"/>
    </row>
    <row r="95" ht="15" customHeight="1" spans="1:13">
      <c r="A95" s="46"/>
      <c r="B95" s="111">
        <v>31</v>
      </c>
      <c r="C95" s="78" t="str">
        <f>IF('INPUT DATA'!N41="","",'INPUT DATA'!N41)</f>
        <v/>
      </c>
      <c r="D95" s="79"/>
      <c r="E95" s="79"/>
      <c r="F95" s="88" t="str">
        <f>IF('TERM 1'!AC99="","",'TERM 1'!AC99)</f>
        <v/>
      </c>
      <c r="G95" s="89" t="str">
        <f>IF('TERM 2'!AC99="","",'TERM 2'!AC99)</f>
        <v/>
      </c>
      <c r="H95" s="110" t="str">
        <f>IF('TERM 3'!AC99="","",'TERM 3'!AC99)</f>
        <v/>
      </c>
      <c r="I95" s="95" t="str">
        <f t="shared" si="1"/>
        <v/>
      </c>
      <c r="J95" s="92" t="str">
        <f>IF(I95="","",IFERROR(INDEX(HELPER!$G$8:$G$48,MATCH(I95,HELPER!$F$8:$F$48,-1)),""))</f>
        <v/>
      </c>
      <c r="K95" s="93"/>
      <c r="L95" s="46"/>
      <c r="M95" s="46"/>
    </row>
    <row r="96" ht="15" customHeight="1" spans="1:13">
      <c r="A96" s="46"/>
      <c r="B96" s="111">
        <v>32</v>
      </c>
      <c r="C96" s="78" t="str">
        <f>IF('INPUT DATA'!N42="","",'INPUT DATA'!N42)</f>
        <v/>
      </c>
      <c r="D96" s="79"/>
      <c r="E96" s="79"/>
      <c r="F96" s="88" t="str">
        <f>IF('TERM 1'!AC100="","",'TERM 1'!AC100)</f>
        <v/>
      </c>
      <c r="G96" s="89" t="str">
        <f>IF('TERM 2'!AC100="","",'TERM 2'!AC100)</f>
        <v/>
      </c>
      <c r="H96" s="110" t="str">
        <f>IF('TERM 3'!AC100="","",'TERM 3'!AC100)</f>
        <v/>
      </c>
      <c r="I96" s="95" t="str">
        <f t="shared" si="1"/>
        <v/>
      </c>
      <c r="J96" s="92" t="str">
        <f>IF(I96="","",IFERROR(INDEX(HELPER!$G$8:$G$48,MATCH(I96,HELPER!$F$8:$F$48,-1)),""))</f>
        <v/>
      </c>
      <c r="K96" s="93"/>
      <c r="L96" s="46"/>
      <c r="M96" s="46"/>
    </row>
    <row r="97" ht="15" customHeight="1" spans="1:13">
      <c r="A97" s="46"/>
      <c r="B97" s="111">
        <v>33</v>
      </c>
      <c r="C97" s="78" t="str">
        <f>IF('INPUT DATA'!N43="","",'INPUT DATA'!N43)</f>
        <v/>
      </c>
      <c r="D97" s="79"/>
      <c r="E97" s="79"/>
      <c r="F97" s="88" t="str">
        <f>IF('TERM 1'!AC101="","",'TERM 1'!AC101)</f>
        <v/>
      </c>
      <c r="G97" s="89" t="str">
        <f>IF('TERM 2'!AC101="","",'TERM 2'!AC101)</f>
        <v/>
      </c>
      <c r="H97" s="110" t="str">
        <f>IF('TERM 3'!AC101="","",'TERM 3'!AC101)</f>
        <v/>
      </c>
      <c r="I97" s="95" t="str">
        <f t="shared" si="1"/>
        <v/>
      </c>
      <c r="J97" s="92" t="str">
        <f>IF(I97="","",IFERROR(INDEX(HELPER!$G$8:$G$48,MATCH(I97,HELPER!$F$8:$F$48,-1)),""))</f>
        <v/>
      </c>
      <c r="K97" s="93"/>
      <c r="L97" s="46"/>
      <c r="M97" s="46"/>
    </row>
    <row r="98" ht="15" customHeight="1" spans="1:13">
      <c r="A98" s="46"/>
      <c r="B98" s="111">
        <v>34</v>
      </c>
      <c r="C98" s="78" t="str">
        <f>IF('INPUT DATA'!N44="","",'INPUT DATA'!N44)</f>
        <v/>
      </c>
      <c r="D98" s="79"/>
      <c r="E98" s="79"/>
      <c r="F98" s="88" t="str">
        <f>IF('TERM 1'!AC102="","",'TERM 1'!AC102)</f>
        <v/>
      </c>
      <c r="G98" s="89" t="str">
        <f>IF('TERM 2'!AC102="","",'TERM 2'!AC102)</f>
        <v/>
      </c>
      <c r="H98" s="110" t="str">
        <f>IF('TERM 3'!AC102="","",'TERM 3'!AC102)</f>
        <v/>
      </c>
      <c r="I98" s="95" t="str">
        <f t="shared" si="1"/>
        <v/>
      </c>
      <c r="J98" s="92" t="str">
        <f>IF(I98="","",IFERROR(INDEX(HELPER!$G$8:$G$48,MATCH(I98,HELPER!$F$8:$F$48,-1)),""))</f>
        <v/>
      </c>
      <c r="K98" s="93"/>
      <c r="L98" s="46"/>
      <c r="M98" s="46"/>
    </row>
    <row r="99" ht="15" customHeight="1" spans="1:13">
      <c r="A99" s="46"/>
      <c r="B99" s="111">
        <v>35</v>
      </c>
      <c r="C99" s="78" t="str">
        <f>IF('INPUT DATA'!N45="","",'INPUT DATA'!N45)</f>
        <v/>
      </c>
      <c r="D99" s="79"/>
      <c r="E99" s="79"/>
      <c r="F99" s="88" t="str">
        <f>IF('TERM 1'!AC103="","",'TERM 1'!AC103)</f>
        <v/>
      </c>
      <c r="G99" s="89" t="str">
        <f>IF('TERM 2'!AC103="","",'TERM 2'!AC103)</f>
        <v/>
      </c>
      <c r="H99" s="110" t="str">
        <f>IF('TERM 3'!AC103="","",'TERM 3'!AC103)</f>
        <v/>
      </c>
      <c r="I99" s="95" t="str">
        <f t="shared" si="1"/>
        <v/>
      </c>
      <c r="J99" s="92" t="str">
        <f>IF(I99="","",IFERROR(INDEX(HELPER!$G$8:$G$48,MATCH(I99,HELPER!$F$8:$F$48,-1)),""))</f>
        <v/>
      </c>
      <c r="K99" s="93"/>
      <c r="L99" s="46"/>
      <c r="M99" s="46"/>
    </row>
    <row r="100" ht="15" customHeight="1" spans="1:13">
      <c r="A100" s="46"/>
      <c r="B100" s="111">
        <v>36</v>
      </c>
      <c r="C100" s="78" t="str">
        <f>IF('INPUT DATA'!N46="","",'INPUT DATA'!N46)</f>
        <v/>
      </c>
      <c r="D100" s="79"/>
      <c r="E100" s="79"/>
      <c r="F100" s="88" t="str">
        <f>IF('TERM 1'!AC104="","",'TERM 1'!AC104)</f>
        <v/>
      </c>
      <c r="G100" s="89" t="str">
        <f>IF('TERM 2'!AC104="","",'TERM 2'!AC104)</f>
        <v/>
      </c>
      <c r="H100" s="110" t="str">
        <f>IF('TERM 3'!AC104="","",'TERM 3'!AC104)</f>
        <v/>
      </c>
      <c r="I100" s="95" t="str">
        <f t="shared" si="1"/>
        <v/>
      </c>
      <c r="J100" s="92" t="str">
        <f>IF(I100="","",IFERROR(INDEX(HELPER!$G$8:$G$48,MATCH(I100,HELPER!$F$8:$F$48,-1)),""))</f>
        <v/>
      </c>
      <c r="K100" s="93"/>
      <c r="L100" s="46"/>
      <c r="M100" s="46"/>
    </row>
    <row r="101" ht="15" customHeight="1" spans="1:13">
      <c r="A101" s="46"/>
      <c r="B101" s="111">
        <v>37</v>
      </c>
      <c r="C101" s="78" t="str">
        <f>IF('INPUT DATA'!N47="","",'INPUT DATA'!N47)</f>
        <v/>
      </c>
      <c r="D101" s="79"/>
      <c r="E101" s="79"/>
      <c r="F101" s="88" t="str">
        <f>IF('TERM 1'!AC105="","",'TERM 1'!AC105)</f>
        <v/>
      </c>
      <c r="G101" s="89" t="str">
        <f>IF('TERM 2'!AC105="","",'TERM 2'!AC105)</f>
        <v/>
      </c>
      <c r="H101" s="110" t="str">
        <f>IF('TERM 3'!AC105="","",'TERM 3'!AC105)</f>
        <v/>
      </c>
      <c r="I101" s="95" t="str">
        <f t="shared" si="1"/>
        <v/>
      </c>
      <c r="J101" s="92" t="str">
        <f>IF(I101="","",IFERROR(INDEX(HELPER!$G$8:$G$48,MATCH(I101,HELPER!$F$8:$F$48,-1)),""))</f>
        <v/>
      </c>
      <c r="K101" s="93"/>
      <c r="L101" s="46"/>
      <c r="M101" s="46"/>
    </row>
    <row r="102" ht="15" customHeight="1" spans="1:13">
      <c r="A102" s="46"/>
      <c r="B102" s="111">
        <v>38</v>
      </c>
      <c r="C102" s="78" t="str">
        <f>IF('INPUT DATA'!N48="","",'INPUT DATA'!N48)</f>
        <v/>
      </c>
      <c r="D102" s="79"/>
      <c r="E102" s="79"/>
      <c r="F102" s="88" t="str">
        <f>IF('TERM 1'!AC106="","",'TERM 1'!AC106)</f>
        <v/>
      </c>
      <c r="G102" s="89" t="str">
        <f>IF('TERM 2'!AC106="","",'TERM 2'!AC106)</f>
        <v/>
      </c>
      <c r="H102" s="110" t="str">
        <f>IF('TERM 3'!AC106="","",'TERM 3'!AC106)</f>
        <v/>
      </c>
      <c r="I102" s="95" t="str">
        <f t="shared" si="1"/>
        <v/>
      </c>
      <c r="J102" s="92" t="str">
        <f>IF(I102="","",IFERROR(INDEX(HELPER!$G$8:$G$48,MATCH(I102,HELPER!$F$8:$F$48,-1)),""))</f>
        <v/>
      </c>
      <c r="K102" s="93"/>
      <c r="L102" s="46"/>
      <c r="M102" s="46"/>
    </row>
    <row r="103" ht="15" customHeight="1" spans="1:13">
      <c r="A103" s="46"/>
      <c r="B103" s="111">
        <v>39</v>
      </c>
      <c r="C103" s="78" t="str">
        <f>IF('INPUT DATA'!N49="","",'INPUT DATA'!N49)</f>
        <v/>
      </c>
      <c r="D103" s="79"/>
      <c r="E103" s="79"/>
      <c r="F103" s="88" t="str">
        <f>IF('TERM 1'!AC107="","",'TERM 1'!AC107)</f>
        <v/>
      </c>
      <c r="G103" s="89" t="str">
        <f>IF('TERM 2'!AC107="","",'TERM 2'!AC107)</f>
        <v/>
      </c>
      <c r="H103" s="110" t="str">
        <f>IF('TERM 3'!AC107="","",'TERM 3'!AC107)</f>
        <v/>
      </c>
      <c r="I103" s="95" t="str">
        <f t="shared" si="1"/>
        <v/>
      </c>
      <c r="J103" s="92" t="str">
        <f>IF(I103="","",IFERROR(INDEX(HELPER!$G$8:$G$48,MATCH(I103,HELPER!$F$8:$F$48,-1)),""))</f>
        <v/>
      </c>
      <c r="K103" s="93"/>
      <c r="L103" s="46"/>
      <c r="M103" s="46"/>
    </row>
    <row r="104" ht="15" customHeight="1" spans="1:13">
      <c r="A104" s="46"/>
      <c r="B104" s="111">
        <v>40</v>
      </c>
      <c r="C104" s="78" t="str">
        <f>IF('INPUT DATA'!N50="","",'INPUT DATA'!N50)</f>
        <v/>
      </c>
      <c r="D104" s="79"/>
      <c r="E104" s="79"/>
      <c r="F104" s="88" t="str">
        <f>IF('TERM 1'!AC108="","",'TERM 1'!AC108)</f>
        <v/>
      </c>
      <c r="G104" s="89" t="str">
        <f>IF('TERM 2'!AC108="","",'TERM 2'!AC108)</f>
        <v/>
      </c>
      <c r="H104" s="110" t="str">
        <f>IF('TERM 3'!AC108="","",'TERM 3'!AC108)</f>
        <v/>
      </c>
      <c r="I104" s="95" t="str">
        <f t="shared" si="1"/>
        <v/>
      </c>
      <c r="J104" s="92" t="str">
        <f>IF(I104="","",IFERROR(INDEX(HELPER!$G$8:$G$48,MATCH(I104,HELPER!$F$8:$F$48,-1)),""))</f>
        <v/>
      </c>
      <c r="K104" s="93"/>
      <c r="L104" s="46"/>
      <c r="M104" s="46"/>
    </row>
    <row r="105" ht="15" customHeight="1" spans="1:13">
      <c r="A105" s="46"/>
      <c r="B105" s="111">
        <v>41</v>
      </c>
      <c r="C105" s="78" t="str">
        <f>IF('INPUT DATA'!N51="","",'INPUT DATA'!N51)</f>
        <v/>
      </c>
      <c r="D105" s="79"/>
      <c r="E105" s="79"/>
      <c r="F105" s="88" t="str">
        <f>IF('TERM 1'!AC109="","",'TERM 1'!AC109)</f>
        <v/>
      </c>
      <c r="G105" s="89" t="str">
        <f>IF('TERM 2'!AC109="","",'TERM 2'!AC109)</f>
        <v/>
      </c>
      <c r="H105" s="110" t="str">
        <f>IF('TERM 3'!AC109="","",'TERM 3'!AC109)</f>
        <v/>
      </c>
      <c r="I105" s="95" t="str">
        <f t="shared" si="1"/>
        <v/>
      </c>
      <c r="J105" s="92" t="str">
        <f>IF(I105="","",IFERROR(INDEX(HELPER!$G$8:$G$48,MATCH(I105,HELPER!$F$8:$F$48,-1)),""))</f>
        <v/>
      </c>
      <c r="K105" s="93"/>
      <c r="L105" s="46"/>
      <c r="M105" s="46"/>
    </row>
    <row r="106" ht="15" customHeight="1" spans="1:13">
      <c r="A106" s="46"/>
      <c r="B106" s="111">
        <v>42</v>
      </c>
      <c r="C106" s="78" t="str">
        <f>IF('INPUT DATA'!N52="","",'INPUT DATA'!N52)</f>
        <v/>
      </c>
      <c r="D106" s="79"/>
      <c r="E106" s="79"/>
      <c r="F106" s="88" t="str">
        <f>IF('TERM 1'!AC110="","",'TERM 1'!AC110)</f>
        <v/>
      </c>
      <c r="G106" s="89" t="str">
        <f>IF('TERM 2'!AC110="","",'TERM 2'!AC110)</f>
        <v/>
      </c>
      <c r="H106" s="110" t="str">
        <f>IF('TERM 3'!AC110="","",'TERM 3'!AC110)</f>
        <v/>
      </c>
      <c r="I106" s="95" t="str">
        <f t="shared" si="1"/>
        <v/>
      </c>
      <c r="J106" s="92" t="str">
        <f>IF(I106="","",IFERROR(INDEX(HELPER!$G$8:$G$48,MATCH(I106,HELPER!$F$8:$F$48,-1)),""))</f>
        <v/>
      </c>
      <c r="K106" s="93"/>
      <c r="L106" s="46"/>
      <c r="M106" s="46"/>
    </row>
    <row r="107" ht="15" customHeight="1" spans="1:13">
      <c r="A107" s="46"/>
      <c r="B107" s="111">
        <v>43</v>
      </c>
      <c r="C107" s="78" t="str">
        <f>IF('INPUT DATA'!N53="","",'INPUT DATA'!N53)</f>
        <v/>
      </c>
      <c r="D107" s="79"/>
      <c r="E107" s="79"/>
      <c r="F107" s="88" t="str">
        <f>IF('TERM 1'!AC111="","",'TERM 1'!AC111)</f>
        <v/>
      </c>
      <c r="G107" s="89" t="str">
        <f>IF('TERM 2'!AC111="","",'TERM 2'!AC111)</f>
        <v/>
      </c>
      <c r="H107" s="110" t="str">
        <f>IF('TERM 3'!AC111="","",'TERM 3'!AC111)</f>
        <v/>
      </c>
      <c r="I107" s="95" t="str">
        <f t="shared" si="1"/>
        <v/>
      </c>
      <c r="J107" s="92" t="str">
        <f>IF(I107="","",IFERROR(INDEX(HELPER!$G$8:$G$48,MATCH(I107,HELPER!$F$8:$F$48,-1)),""))</f>
        <v/>
      </c>
      <c r="K107" s="93"/>
      <c r="L107" s="46"/>
      <c r="M107" s="46"/>
    </row>
    <row r="108" ht="15" customHeight="1" spans="1:13">
      <c r="A108" s="46"/>
      <c r="B108" s="111">
        <v>44</v>
      </c>
      <c r="C108" s="78" t="str">
        <f>IF('INPUT DATA'!N54="","",'INPUT DATA'!N54)</f>
        <v/>
      </c>
      <c r="D108" s="79"/>
      <c r="E108" s="79"/>
      <c r="F108" s="88" t="str">
        <f>IF('TERM 1'!AC112="","",'TERM 1'!AC112)</f>
        <v/>
      </c>
      <c r="G108" s="89" t="str">
        <f>IF('TERM 2'!AC112="","",'TERM 2'!AC112)</f>
        <v/>
      </c>
      <c r="H108" s="110" t="str">
        <f>IF('TERM 3'!AC112="","",'TERM 3'!AC112)</f>
        <v/>
      </c>
      <c r="I108" s="95" t="str">
        <f t="shared" si="1"/>
        <v/>
      </c>
      <c r="J108" s="92" t="str">
        <f>IF(I108="","",IFERROR(INDEX(HELPER!$G$8:$G$48,MATCH(I108,HELPER!$F$8:$F$48,-1)),""))</f>
        <v/>
      </c>
      <c r="K108" s="93"/>
      <c r="L108" s="46"/>
      <c r="M108" s="46"/>
    </row>
    <row r="109" ht="15" customHeight="1" spans="1:13">
      <c r="A109" s="46"/>
      <c r="B109" s="111">
        <v>45</v>
      </c>
      <c r="C109" s="78" t="str">
        <f>IF('INPUT DATA'!N55="","",'INPUT DATA'!N55)</f>
        <v/>
      </c>
      <c r="D109" s="79"/>
      <c r="E109" s="79"/>
      <c r="F109" s="88" t="str">
        <f>IF('TERM 1'!AC113="","",'TERM 1'!AC113)</f>
        <v/>
      </c>
      <c r="G109" s="89" t="str">
        <f>IF('TERM 2'!AC113="","",'TERM 2'!AC113)</f>
        <v/>
      </c>
      <c r="H109" s="110" t="str">
        <f>IF('TERM 3'!AC113="","",'TERM 3'!AC113)</f>
        <v/>
      </c>
      <c r="I109" s="95" t="str">
        <f t="shared" si="1"/>
        <v/>
      </c>
      <c r="J109" s="92" t="str">
        <f>IF(I109="","",IFERROR(INDEX(HELPER!$G$8:$G$48,MATCH(I109,HELPER!$F$8:$F$48,-1)),""))</f>
        <v/>
      </c>
      <c r="K109" s="93"/>
      <c r="L109" s="46"/>
      <c r="M109" s="46"/>
    </row>
    <row r="110" ht="15" customHeight="1" spans="1:13">
      <c r="A110" s="46"/>
      <c r="B110" s="111">
        <v>46</v>
      </c>
      <c r="C110" s="78" t="str">
        <f>IF('INPUT DATA'!N56="","",'INPUT DATA'!N56)</f>
        <v/>
      </c>
      <c r="D110" s="79"/>
      <c r="E110" s="79"/>
      <c r="F110" s="88" t="str">
        <f>IF('TERM 1'!AC114="","",'TERM 1'!AC114)</f>
        <v/>
      </c>
      <c r="G110" s="89" t="str">
        <f>IF('TERM 2'!AC114="","",'TERM 2'!AC114)</f>
        <v/>
      </c>
      <c r="H110" s="110" t="str">
        <f>IF('TERM 3'!AC114="","",'TERM 3'!AC114)</f>
        <v/>
      </c>
      <c r="I110" s="95" t="str">
        <f t="shared" si="1"/>
        <v/>
      </c>
      <c r="J110" s="92" t="str">
        <f>IF(I110="","",IFERROR(INDEX(HELPER!$G$8:$G$48,MATCH(I110,HELPER!$F$8:$F$48,-1)),""))</f>
        <v/>
      </c>
      <c r="K110" s="93"/>
      <c r="L110" s="46"/>
      <c r="M110" s="46"/>
    </row>
    <row r="111" ht="15" customHeight="1" spans="1:13">
      <c r="A111" s="46"/>
      <c r="B111" s="111">
        <v>47</v>
      </c>
      <c r="C111" s="78" t="str">
        <f>IF('INPUT DATA'!N57="","",'INPUT DATA'!N57)</f>
        <v/>
      </c>
      <c r="D111" s="79"/>
      <c r="E111" s="79"/>
      <c r="F111" s="88" t="str">
        <f>IF('TERM 1'!AC115="","",'TERM 1'!AC115)</f>
        <v/>
      </c>
      <c r="G111" s="89" t="str">
        <f>IF('TERM 2'!AC115="","",'TERM 2'!AC115)</f>
        <v/>
      </c>
      <c r="H111" s="110" t="str">
        <f>IF('TERM 3'!AC115="","",'TERM 3'!AC115)</f>
        <v/>
      </c>
      <c r="I111" s="95" t="str">
        <f t="shared" si="1"/>
        <v/>
      </c>
      <c r="J111" s="92" t="str">
        <f>IF(I111="","",IFERROR(INDEX(HELPER!$G$8:$G$48,MATCH(I111,HELPER!$F$8:$F$48,-1)),""))</f>
        <v/>
      </c>
      <c r="K111" s="93"/>
      <c r="L111" s="46"/>
      <c r="M111" s="46"/>
    </row>
    <row r="112" ht="15" customHeight="1" spans="1:13">
      <c r="A112" s="46"/>
      <c r="B112" s="111">
        <v>48</v>
      </c>
      <c r="C112" s="78" t="str">
        <f>IF('INPUT DATA'!N58="","",'INPUT DATA'!N58)</f>
        <v/>
      </c>
      <c r="D112" s="79"/>
      <c r="E112" s="79"/>
      <c r="F112" s="88" t="str">
        <f>IF('TERM 1'!AC116="","",'TERM 1'!AC116)</f>
        <v/>
      </c>
      <c r="G112" s="89" t="str">
        <f>IF('TERM 2'!AC116="","",'TERM 2'!AC116)</f>
        <v/>
      </c>
      <c r="H112" s="110" t="str">
        <f>IF('TERM 3'!AC116="","",'TERM 3'!AC116)</f>
        <v/>
      </c>
      <c r="I112" s="95" t="str">
        <f t="shared" si="1"/>
        <v/>
      </c>
      <c r="J112" s="92" t="str">
        <f>IF(I112="","",IFERROR(INDEX(HELPER!$G$8:$G$48,MATCH(I112,HELPER!$F$8:$F$48,-1)),""))</f>
        <v/>
      </c>
      <c r="K112" s="93"/>
      <c r="L112" s="46"/>
      <c r="M112" s="46"/>
    </row>
    <row r="113" ht="15" customHeight="1" spans="1:13">
      <c r="A113" s="46"/>
      <c r="B113" s="111">
        <v>49</v>
      </c>
      <c r="C113" s="78" t="str">
        <f>IF('INPUT DATA'!N59="","",'INPUT DATA'!N59)</f>
        <v/>
      </c>
      <c r="D113" s="79"/>
      <c r="E113" s="79"/>
      <c r="F113" s="88" t="str">
        <f>IF('TERM 1'!AC117="","",'TERM 1'!AC117)</f>
        <v/>
      </c>
      <c r="G113" s="89" t="str">
        <f>IF('TERM 2'!AC117="","",'TERM 2'!AC117)</f>
        <v/>
      </c>
      <c r="H113" s="110" t="str">
        <f>IF('TERM 3'!AC117="","",'TERM 3'!AC117)</f>
        <v/>
      </c>
      <c r="I113" s="95" t="str">
        <f t="shared" si="1"/>
        <v/>
      </c>
      <c r="J113" s="92" t="str">
        <f>IF(I113="","",IFERROR(INDEX(HELPER!$G$8:$G$48,MATCH(I113,HELPER!$F$8:$F$48,-1)),""))</f>
        <v/>
      </c>
      <c r="K113" s="93"/>
      <c r="L113" s="46"/>
      <c r="M113" s="46"/>
    </row>
    <row r="114" ht="15" customHeight="1" spans="1:13">
      <c r="A114" s="46"/>
      <c r="B114" s="112">
        <v>50</v>
      </c>
      <c r="C114" s="113" t="str">
        <f>IF('INPUT DATA'!N60="","",'INPUT DATA'!N60)</f>
        <v/>
      </c>
      <c r="D114" s="114"/>
      <c r="E114" s="114"/>
      <c r="F114" s="99" t="str">
        <f>IF('TERM 1'!AC118="","",'TERM 1'!AC118)</f>
        <v/>
      </c>
      <c r="G114" s="100" t="str">
        <f>IF('TERM 2'!AC118="","",'TERM 2'!AC118)</f>
        <v/>
      </c>
      <c r="H114" s="115" t="str">
        <f>IF('TERM 3'!AC118="","",'TERM 3'!AC118)</f>
        <v/>
      </c>
      <c r="I114" s="102" t="str">
        <f t="shared" si="1"/>
        <v/>
      </c>
      <c r="J114" s="116" t="str">
        <f>IF(I114="","",IFERROR(INDEX(HELPER!$G$8:$G$48,MATCH(I114,HELPER!$F$8:$F$48,-1)),""))</f>
        <v/>
      </c>
      <c r="K114" s="117"/>
      <c r="L114" s="46"/>
      <c r="M114" s="46"/>
    </row>
    <row r="115" ht="13.2" customHeight="1" spans="1:13">
      <c r="A115" s="46"/>
      <c r="B115" s="46"/>
      <c r="C115" s="118"/>
      <c r="F115" s="46"/>
      <c r="G115" s="46"/>
      <c r="H115" s="46"/>
      <c r="I115" s="46"/>
      <c r="J115" s="46"/>
      <c r="K115" s="46"/>
      <c r="L115" s="46"/>
      <c r="M115" s="46"/>
    </row>
    <row r="116" ht="13.2" customHeight="1" spans="1:13">
      <c r="A116" s="46"/>
      <c r="B116" s="46"/>
      <c r="C116" s="46"/>
      <c r="D116" s="46"/>
      <c r="E116" s="46"/>
      <c r="F116" s="46"/>
      <c r="G116" s="46"/>
      <c r="H116" s="46"/>
      <c r="I116" s="46"/>
      <c r="J116" s="46"/>
      <c r="K116" s="46"/>
      <c r="L116" s="46"/>
      <c r="M116" s="46"/>
    </row>
    <row r="117" ht="13.2" customHeight="1" spans="1:13">
      <c r="F117" s="119"/>
      <c r="G117" s="119"/>
      <c r="H117" s="119"/>
      <c r="I117" s="119"/>
      <c r="J117" s="119"/>
      <c r="K117" s="119"/>
    </row>
  </sheetData>
  <sheetProtection algorithmName="SHA-512" hashValue="ECHh00P+otS4DolLLjKlPiXLBOQ3px0To6Ge/j+YEfZaRq22Bq1Lz5gZIx1J6f4tCmp/IhKb/WR3/Rd0QPGlHA==" saltValue="GLftdwutl5eszqMSNz3lsA==" spinCount="100000" sheet="1" formatCells="0" formatColumns="0" formatRows="0" objects="1" scenarios="1"/>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sheetPr>
  <dimension ref="A2:I50"/>
  <sheetViews>
    <sheetView showGridLines="0" workbookViewId="0">
      <selection activeCell="A1" sqref="A1"/>
    </sheetView>
  </sheetViews>
  <sheetFormatPr defaultColWidth="12.6666666666667" defaultRowHeight="12.75"/>
  <cols>
    <col min="1" max="1" width="3.88571428571429" customWidth="1"/>
    <col min="2" max="3" width="15.1047619047619" customWidth="1"/>
    <col min="4" max="4" width="21.1047619047619" customWidth="1"/>
    <col min="6" max="7" width="17.4380952380952" customWidth="1"/>
    <col min="8" max="8" width="25.4380952380952" customWidth="1"/>
    <col min="9" max="9" width="3.88571428571429" customWidth="1"/>
  </cols>
  <sheetData>
    <row r="2" customFormat="1" ht="37.2" customHeight="1" spans="1:9">
      <c r="B2" s="1" t="s">
        <v>50</v>
      </c>
      <c r="C2" s="2"/>
    </row>
    <row r="3" customFormat="1" ht="36" customHeight="1" spans="1:9">
      <c r="B3" s="3" t="s">
        <v>51</v>
      </c>
      <c r="C3" s="2"/>
    </row>
    <row r="5" customFormat="1" ht="15.75" customHeight="1"/>
    <row r="6" customFormat="1" ht="15.75" customHeight="1" spans="1:9">
      <c r="A6" s="4"/>
      <c r="B6" s="5" t="s">
        <v>52</v>
      </c>
      <c r="E6" s="6"/>
      <c r="F6" s="7" t="s">
        <v>45</v>
      </c>
      <c r="G6" s="8"/>
      <c r="H6" s="9"/>
      <c r="I6" s="4"/>
    </row>
    <row r="7" customFormat="1" ht="15.75" customHeight="1" spans="1:9">
      <c r="B7" s="10" t="s">
        <v>53</v>
      </c>
      <c r="C7" s="11" t="s">
        <v>54</v>
      </c>
      <c r="D7" s="12" t="s">
        <v>55</v>
      </c>
      <c r="E7" s="6"/>
      <c r="F7" s="13" t="s">
        <v>56</v>
      </c>
      <c r="G7" s="14" t="s">
        <v>29</v>
      </c>
      <c r="H7" s="15" t="s">
        <v>57</v>
      </c>
    </row>
    <row r="8" customFormat="1" ht="15.75" customHeight="1" spans="1:9">
      <c r="B8" s="16">
        <v>99.5</v>
      </c>
      <c r="C8" s="17">
        <v>100</v>
      </c>
      <c r="D8" s="18">
        <v>100</v>
      </c>
      <c r="F8" s="19">
        <v>100</v>
      </c>
      <c r="G8" s="20" t="s">
        <v>58</v>
      </c>
      <c r="H8" s="21" t="s">
        <v>59</v>
      </c>
    </row>
    <row r="9" customFormat="1" ht="15.75" customHeight="1" spans="1:9">
      <c r="B9" s="22">
        <v>98.32</v>
      </c>
      <c r="C9" s="23">
        <v>99.49</v>
      </c>
      <c r="D9" s="24">
        <v>99</v>
      </c>
      <c r="F9" s="25">
        <v>99</v>
      </c>
      <c r="G9" s="26" t="s">
        <v>58</v>
      </c>
      <c r="H9" s="27"/>
    </row>
    <row r="10" customFormat="1" ht="15.75" customHeight="1" spans="1:9">
      <c r="B10" s="22">
        <v>97.14</v>
      </c>
      <c r="C10" s="23">
        <v>98.31</v>
      </c>
      <c r="D10" s="24">
        <v>98</v>
      </c>
      <c r="F10" s="25">
        <v>98</v>
      </c>
      <c r="G10" s="26" t="s">
        <v>58</v>
      </c>
      <c r="H10" s="27"/>
    </row>
    <row r="11" customFormat="1" ht="15.75" customHeight="1" spans="1:9">
      <c r="B11" s="22">
        <v>95.96</v>
      </c>
      <c r="C11" s="23">
        <v>97.13</v>
      </c>
      <c r="D11" s="24">
        <v>97</v>
      </c>
      <c r="F11" s="25">
        <v>97</v>
      </c>
      <c r="G11" s="26" t="s">
        <v>58</v>
      </c>
      <c r="H11" s="27"/>
    </row>
    <row r="12" customFormat="1" ht="15.75" customHeight="1" spans="1:9">
      <c r="B12" s="22">
        <v>94.78</v>
      </c>
      <c r="C12" s="23">
        <v>95.95</v>
      </c>
      <c r="D12" s="24">
        <v>96</v>
      </c>
      <c r="F12" s="25">
        <v>96</v>
      </c>
      <c r="G12" s="26" t="s">
        <v>58</v>
      </c>
      <c r="H12" s="27"/>
    </row>
    <row r="13" customFormat="1" ht="15.75" customHeight="1" spans="1:9">
      <c r="B13" s="28">
        <v>93.6</v>
      </c>
      <c r="C13" s="23">
        <v>94.77</v>
      </c>
      <c r="D13" s="24">
        <v>95</v>
      </c>
      <c r="F13" s="25">
        <v>95</v>
      </c>
      <c r="G13" s="26" t="s">
        <v>58</v>
      </c>
      <c r="H13" s="27"/>
    </row>
    <row r="14" customFormat="1" ht="15.75" customHeight="1" spans="1:9">
      <c r="B14" s="22">
        <v>92.42</v>
      </c>
      <c r="C14" s="23">
        <v>93.59</v>
      </c>
      <c r="D14" s="24">
        <v>94</v>
      </c>
      <c r="F14" s="25">
        <v>94</v>
      </c>
      <c r="G14" s="26" t="s">
        <v>58</v>
      </c>
      <c r="H14" s="27"/>
    </row>
    <row r="15" customFormat="1" ht="15.75" customHeight="1" spans="1:9">
      <c r="B15" s="22">
        <v>91.24</v>
      </c>
      <c r="C15" s="23">
        <v>92.41</v>
      </c>
      <c r="D15" s="24">
        <v>93</v>
      </c>
      <c r="F15" s="25">
        <v>93</v>
      </c>
      <c r="G15" s="26" t="s">
        <v>58</v>
      </c>
      <c r="H15" s="27"/>
    </row>
    <row r="16" customFormat="1" ht="15.75" customHeight="1" spans="1:9">
      <c r="B16" s="22">
        <v>90.06</v>
      </c>
      <c r="C16" s="23">
        <v>91.23</v>
      </c>
      <c r="D16" s="24">
        <v>92</v>
      </c>
      <c r="F16" s="25">
        <v>92</v>
      </c>
      <c r="G16" s="26" t="s">
        <v>58</v>
      </c>
      <c r="H16" s="27"/>
    </row>
    <row r="17" customFormat="1" ht="15.75" customHeight="1" spans="2:8">
      <c r="B17" s="22">
        <v>88.88</v>
      </c>
      <c r="C17" s="23">
        <v>90.05</v>
      </c>
      <c r="D17" s="24">
        <v>91</v>
      </c>
      <c r="F17" s="25">
        <v>91</v>
      </c>
      <c r="G17" s="26" t="s">
        <v>58</v>
      </c>
      <c r="H17" s="27"/>
    </row>
    <row r="18" customFormat="1" ht="15.75" customHeight="1" spans="2:8">
      <c r="B18" s="28">
        <v>87.7</v>
      </c>
      <c r="C18" s="23">
        <v>88.87</v>
      </c>
      <c r="D18" s="24">
        <v>90</v>
      </c>
      <c r="F18" s="25">
        <v>90</v>
      </c>
      <c r="G18" s="26" t="s">
        <v>58</v>
      </c>
      <c r="H18" s="29"/>
    </row>
    <row r="19" customFormat="1" ht="15.75" customHeight="1" spans="2:8">
      <c r="B19" s="22">
        <v>86.52</v>
      </c>
      <c r="C19" s="23">
        <v>87.69</v>
      </c>
      <c r="D19" s="24">
        <v>89</v>
      </c>
      <c r="F19" s="25">
        <v>89</v>
      </c>
      <c r="G19" s="26" t="s">
        <v>60</v>
      </c>
      <c r="H19" s="30" t="s">
        <v>61</v>
      </c>
    </row>
    <row r="20" customFormat="1" ht="15.75" customHeight="1" spans="2:8">
      <c r="B20" s="22">
        <v>85.34</v>
      </c>
      <c r="C20" s="23">
        <v>86.51</v>
      </c>
      <c r="D20" s="24">
        <v>88</v>
      </c>
      <c r="F20" s="25">
        <v>88</v>
      </c>
      <c r="G20" s="26" t="s">
        <v>60</v>
      </c>
      <c r="H20" s="27"/>
    </row>
    <row r="21" customFormat="1" ht="15.75" customHeight="1" spans="2:8">
      <c r="B21" s="22">
        <v>84.16</v>
      </c>
      <c r="C21" s="23">
        <v>85.33</v>
      </c>
      <c r="D21" s="24">
        <v>87</v>
      </c>
      <c r="F21" s="25">
        <v>87</v>
      </c>
      <c r="G21" s="26" t="s">
        <v>60</v>
      </c>
      <c r="H21" s="27"/>
    </row>
    <row r="22" customFormat="1" ht="15.75" customHeight="1" spans="2:8">
      <c r="B22" s="22">
        <v>82.98</v>
      </c>
      <c r="C22" s="23">
        <v>84.15</v>
      </c>
      <c r="D22" s="24">
        <v>86</v>
      </c>
      <c r="F22" s="25">
        <v>86</v>
      </c>
      <c r="G22" s="26" t="s">
        <v>60</v>
      </c>
      <c r="H22" s="27"/>
    </row>
    <row r="23" customFormat="1" ht="15.75" customHeight="1" spans="2:8">
      <c r="B23" s="22">
        <v>81.8</v>
      </c>
      <c r="C23" s="23">
        <v>82.97</v>
      </c>
      <c r="D23" s="24">
        <v>85</v>
      </c>
      <c r="F23" s="25">
        <v>85</v>
      </c>
      <c r="G23" s="26" t="s">
        <v>60</v>
      </c>
      <c r="H23" s="27"/>
    </row>
    <row r="24" customFormat="1" ht="15.75" customHeight="1" spans="2:8">
      <c r="B24" s="22">
        <v>80.62</v>
      </c>
      <c r="C24" s="23">
        <v>81.79</v>
      </c>
      <c r="D24" s="24">
        <v>84</v>
      </c>
      <c r="F24" s="25">
        <v>84</v>
      </c>
      <c r="G24" s="26" t="s">
        <v>60</v>
      </c>
      <c r="H24" s="27"/>
    </row>
    <row r="25" customFormat="1" ht="15.75" customHeight="1" spans="2:8">
      <c r="B25" s="22">
        <v>79.44</v>
      </c>
      <c r="C25" s="23">
        <v>80.61</v>
      </c>
      <c r="D25" s="24">
        <v>83</v>
      </c>
      <c r="F25" s="25">
        <v>83</v>
      </c>
      <c r="G25" s="26" t="s">
        <v>60</v>
      </c>
      <c r="H25" s="27"/>
    </row>
    <row r="26" customFormat="1" ht="15.75" customHeight="1" spans="2:8">
      <c r="B26" s="22">
        <v>78.26</v>
      </c>
      <c r="C26" s="23">
        <v>79.43</v>
      </c>
      <c r="D26" s="24">
        <v>82</v>
      </c>
      <c r="F26" s="25">
        <v>82</v>
      </c>
      <c r="G26" s="26" t="s">
        <v>60</v>
      </c>
      <c r="H26" s="27"/>
    </row>
    <row r="27" customFormat="1" ht="15.75" customHeight="1" spans="2:8">
      <c r="B27" s="22">
        <v>77.08</v>
      </c>
      <c r="C27" s="23">
        <v>78.25</v>
      </c>
      <c r="D27" s="24">
        <v>81</v>
      </c>
      <c r="F27" s="25">
        <v>81</v>
      </c>
      <c r="G27" s="26" t="s">
        <v>60</v>
      </c>
      <c r="H27" s="27"/>
    </row>
    <row r="28" customFormat="1" ht="15.75" customHeight="1" spans="2:8">
      <c r="B28" s="22">
        <v>75.9</v>
      </c>
      <c r="C28" s="23">
        <v>77.07</v>
      </c>
      <c r="D28" s="24">
        <v>80</v>
      </c>
      <c r="F28" s="25">
        <v>80</v>
      </c>
      <c r="G28" s="26" t="s">
        <v>60</v>
      </c>
      <c r="H28" s="29"/>
    </row>
    <row r="29" customFormat="1" ht="15.75" customHeight="1" spans="2:8">
      <c r="B29" s="22">
        <v>74.72</v>
      </c>
      <c r="C29" s="23">
        <v>75.89</v>
      </c>
      <c r="D29" s="24">
        <v>79</v>
      </c>
      <c r="F29" s="25">
        <v>79</v>
      </c>
      <c r="G29" s="26" t="s">
        <v>62</v>
      </c>
      <c r="H29" s="30" t="s">
        <v>63</v>
      </c>
    </row>
    <row r="30" customFormat="1" ht="15.75" customHeight="1" spans="2:8">
      <c r="B30" s="22">
        <v>73.54</v>
      </c>
      <c r="C30" s="23">
        <v>74.71</v>
      </c>
      <c r="D30" s="24">
        <v>78</v>
      </c>
      <c r="F30" s="25">
        <v>78</v>
      </c>
      <c r="G30" s="26" t="s">
        <v>62</v>
      </c>
      <c r="H30" s="27"/>
    </row>
    <row r="31" customFormat="1" ht="15.75" customHeight="1" spans="2:8">
      <c r="B31" s="22">
        <v>72.36</v>
      </c>
      <c r="C31" s="23">
        <v>73.53</v>
      </c>
      <c r="D31" s="24">
        <v>77</v>
      </c>
      <c r="F31" s="25">
        <v>77</v>
      </c>
      <c r="G31" s="26" t="s">
        <v>62</v>
      </c>
      <c r="H31" s="27"/>
    </row>
    <row r="32" customFormat="1" ht="15.75" customHeight="1" spans="2:8">
      <c r="B32" s="22">
        <v>71.18</v>
      </c>
      <c r="C32" s="23">
        <v>72.35</v>
      </c>
      <c r="D32" s="24">
        <v>76</v>
      </c>
      <c r="F32" s="25">
        <v>76</v>
      </c>
      <c r="G32" s="26" t="s">
        <v>62</v>
      </c>
      <c r="H32" s="27"/>
    </row>
    <row r="33" customFormat="1" ht="15.75" customHeight="1" spans="2:8">
      <c r="B33" s="31">
        <v>70</v>
      </c>
      <c r="C33" s="32">
        <v>71.17</v>
      </c>
      <c r="D33" s="33">
        <v>75</v>
      </c>
      <c r="F33" s="25">
        <v>75</v>
      </c>
      <c r="G33" s="26" t="s">
        <v>62</v>
      </c>
      <c r="H33" s="29"/>
    </row>
    <row r="34" customFormat="1" ht="15.6" customHeight="1" spans="2:8">
      <c r="B34" s="22">
        <v>65.34</v>
      </c>
      <c r="C34" s="23">
        <v>69.99</v>
      </c>
      <c r="D34" s="24">
        <v>74</v>
      </c>
      <c r="F34" s="25">
        <v>74</v>
      </c>
      <c r="G34" s="26" t="s">
        <v>64</v>
      </c>
      <c r="H34" s="30" t="s">
        <v>65</v>
      </c>
    </row>
    <row r="35" customFormat="1" ht="15.6" customHeight="1" spans="2:8">
      <c r="B35" s="22">
        <v>60.67</v>
      </c>
      <c r="C35" s="23">
        <v>65.33</v>
      </c>
      <c r="D35" s="24">
        <v>73</v>
      </c>
      <c r="F35" s="25">
        <v>73</v>
      </c>
      <c r="G35" s="26" t="s">
        <v>64</v>
      </c>
      <c r="H35" s="27"/>
    </row>
    <row r="36" customFormat="1" ht="15.6" customHeight="1" spans="2:8">
      <c r="B36" s="22">
        <v>56.01</v>
      </c>
      <c r="C36" s="23">
        <v>60.66</v>
      </c>
      <c r="D36" s="24">
        <v>72</v>
      </c>
      <c r="F36" s="25">
        <v>72</v>
      </c>
      <c r="G36" s="26" t="s">
        <v>64</v>
      </c>
      <c r="H36" s="27"/>
    </row>
    <row r="37" customFormat="1" ht="15.6" customHeight="1" spans="2:8">
      <c r="B37" s="22">
        <v>51.34</v>
      </c>
      <c r="C37" s="34">
        <v>56</v>
      </c>
      <c r="D37" s="24">
        <v>71</v>
      </c>
      <c r="F37" s="25">
        <v>71</v>
      </c>
      <c r="G37" s="26" t="s">
        <v>64</v>
      </c>
      <c r="H37" s="27"/>
    </row>
    <row r="38" customFormat="1" ht="15.6" customHeight="1" spans="2:8">
      <c r="B38" s="22">
        <v>46.67</v>
      </c>
      <c r="C38" s="23">
        <v>51.33</v>
      </c>
      <c r="D38" s="24">
        <v>70</v>
      </c>
      <c r="F38" s="25">
        <v>70</v>
      </c>
      <c r="G38" s="26" t="s">
        <v>64</v>
      </c>
      <c r="H38" s="27"/>
    </row>
    <row r="39" customFormat="1" ht="15.6" customHeight="1" spans="2:8">
      <c r="B39" s="22">
        <v>42.01</v>
      </c>
      <c r="C39" s="23">
        <v>46.66</v>
      </c>
      <c r="D39" s="24">
        <v>69</v>
      </c>
      <c r="F39" s="25">
        <v>69</v>
      </c>
      <c r="G39" s="26" t="s">
        <v>64</v>
      </c>
      <c r="H39" s="27"/>
    </row>
    <row r="40" customFormat="1" ht="15.6" customHeight="1" spans="2:8">
      <c r="B40" s="22">
        <v>37.34</v>
      </c>
      <c r="C40" s="34">
        <v>42</v>
      </c>
      <c r="D40" s="24">
        <v>68</v>
      </c>
      <c r="F40" s="25">
        <v>68</v>
      </c>
      <c r="G40" s="26" t="s">
        <v>64</v>
      </c>
      <c r="H40" s="27"/>
    </row>
    <row r="41" customFormat="1" ht="15.6" customHeight="1" spans="2:8">
      <c r="B41" s="22">
        <v>32.68</v>
      </c>
      <c r="C41" s="23">
        <v>37.33</v>
      </c>
      <c r="D41" s="24">
        <v>67</v>
      </c>
      <c r="F41" s="25">
        <v>67</v>
      </c>
      <c r="G41" s="26" t="s">
        <v>64</v>
      </c>
      <c r="H41" s="27"/>
    </row>
    <row r="42" customFormat="1" ht="15.6" customHeight="1" spans="2:8">
      <c r="B42" s="22">
        <v>28.01</v>
      </c>
      <c r="C42" s="23">
        <v>32.67</v>
      </c>
      <c r="D42" s="24">
        <v>66</v>
      </c>
      <c r="F42" s="25">
        <v>66</v>
      </c>
      <c r="G42" s="26" t="s">
        <v>64</v>
      </c>
      <c r="H42" s="27"/>
    </row>
    <row r="43" customFormat="1" ht="15.6" customHeight="1" spans="2:8">
      <c r="B43" s="22">
        <v>23.35</v>
      </c>
      <c r="C43" s="34">
        <v>28</v>
      </c>
      <c r="D43" s="24">
        <v>65</v>
      </c>
      <c r="F43" s="25">
        <v>65</v>
      </c>
      <c r="G43" s="26" t="s">
        <v>64</v>
      </c>
      <c r="H43" s="29"/>
    </row>
    <row r="44" customFormat="1" ht="15.6" customHeight="1" spans="2:8">
      <c r="B44" s="22">
        <v>18.68</v>
      </c>
      <c r="C44" s="23">
        <v>23.34</v>
      </c>
      <c r="D44" s="24">
        <v>64</v>
      </c>
      <c r="F44" s="25">
        <v>64</v>
      </c>
      <c r="G44" s="26" t="s">
        <v>66</v>
      </c>
      <c r="H44" s="35" t="s">
        <v>67</v>
      </c>
    </row>
    <row r="45" customFormat="1" ht="15.6" customHeight="1" spans="2:8">
      <c r="B45" s="22">
        <v>14.01</v>
      </c>
      <c r="C45" s="23">
        <v>18.67</v>
      </c>
      <c r="D45" s="24">
        <v>63</v>
      </c>
      <c r="F45" s="25">
        <v>63</v>
      </c>
      <c r="G45" s="26" t="s">
        <v>66</v>
      </c>
      <c r="H45" s="27"/>
    </row>
    <row r="46" customFormat="1" ht="15.6" customHeight="1" spans="2:8">
      <c r="B46" s="22">
        <v>9.35</v>
      </c>
      <c r="C46" s="34">
        <v>14</v>
      </c>
      <c r="D46" s="24">
        <v>62</v>
      </c>
      <c r="F46" s="25">
        <v>62</v>
      </c>
      <c r="G46" s="26" t="s">
        <v>66</v>
      </c>
      <c r="H46" s="27"/>
    </row>
    <row r="47" customFormat="1" ht="15.6" customHeight="1" spans="2:8">
      <c r="B47" s="22">
        <v>4.68</v>
      </c>
      <c r="C47" s="23">
        <v>9.34</v>
      </c>
      <c r="D47" s="24">
        <v>61</v>
      </c>
      <c r="F47" s="25">
        <v>61</v>
      </c>
      <c r="G47" s="26" t="s">
        <v>66</v>
      </c>
      <c r="H47" s="27"/>
    </row>
    <row r="48" customFormat="1" ht="16.2" customHeight="1" spans="2:8">
      <c r="B48" s="36">
        <v>0</v>
      </c>
      <c r="C48" s="37">
        <v>4.67</v>
      </c>
      <c r="D48" s="38">
        <v>60</v>
      </c>
      <c r="F48" s="39">
        <v>60</v>
      </c>
      <c r="G48" s="40" t="s">
        <v>66</v>
      </c>
      <c r="H48" s="41"/>
    </row>
    <row r="49" customFormat="1" ht="15" customHeight="1" spans="2:8">
      <c r="B49" s="42"/>
      <c r="C49" s="42"/>
      <c r="D49" s="42"/>
      <c r="G49" s="42"/>
      <c r="H49" s="43"/>
    </row>
    <row r="50" customFormat="1" ht="15" customHeight="1" spans="2:8">
      <c r="B50" s="42"/>
      <c r="C50" s="42"/>
      <c r="D50" s="42"/>
      <c r="G50" s="42"/>
      <c r="H50" s="43"/>
    </row>
  </sheetData>
  <mergeCells count="7">
    <mergeCell ref="B6:D6"/>
    <mergeCell ref="F6:H6"/>
    <mergeCell ref="H8:H18"/>
    <mergeCell ref="H19:H28"/>
    <mergeCell ref="H29:H33"/>
    <mergeCell ref="H34:H43"/>
    <mergeCell ref="H44:H48"/>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8" master="" otherUserPermission="visible"/>
  <rangeList sheetStid="7" master="" otherUserPermission="visible"/>
  <rangeList sheetStid="4" master="" otherUserPermission="visible"/>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2026-10-15T06:14:00Z</dcterms:created>
  <cp:lastPrinted>2026-09-01T00:02:00Z</cp:lastPrinted>
  <dcterms:modified xsi:type="dcterms:W3CDTF">2026-10-16T17:24:20Z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0A7DBA6FA61B4E0CAC433E7D68530212_12</vt:lpwstr>
  </property>
  <property fmtid="{D5CDD505-2E9C-101B-9397-08002B2CF9AE}" pid="3" name="KSOProductBuildVer">
    <vt:lpwstr>1033-12.1.0.29162</vt:lpwstr>
  </property>
  <property fmtid="{D5CDD505-2E9C-101B-9397-08002B2CF9AE}" pid="4" name="CalculationRule">
    <vt:i4>0</vt:i4>
  </property>
</Properties>
</file>