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7945" windowHeight="12180"/>
  </bookViews>
  <sheets>
    <sheet name="INPUT DATA" sheetId="1" r:id="rId1"/>
    <sheet name="TERM 1" sheetId="2" r:id="rId2"/>
    <sheet name="TERM 2" sheetId="3"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<sst xmlns="http://schemas.openxmlformats.org/spreadsheetml/2006/main" count="211" uniqueCount="68">
  <si>
    <t>Input Data Sheet for Electronic-Class Record (ECR)</t>
  </si>
  <si>
    <t>SCHOOL INFORMATION</t>
  </si>
  <si>
    <t>LEARNERS' NAMES</t>
  </si>
  <si>
    <t>REGION</t>
  </si>
  <si>
    <t>:</t>
  </si>
  <si>
    <t>MALE</t>
  </si>
  <si>
    <t>FEMALE</t>
  </si>
  <si>
    <t>DIVISION</t>
  </si>
  <si>
    <t>SCHOOL ID</t>
  </si>
  <si>
    <t>SCHOOL NAME</t>
  </si>
  <si>
    <t>San Jose National High School</t>
  </si>
  <si>
    <t>SCHOOL YEAR</t>
  </si>
  <si>
    <t>SCHOOL HEAD</t>
  </si>
  <si>
    <t>TEACHER, GRADE LEVEL, SECTION INFORMATION</t>
  </si>
  <si>
    <t>SUBJECT TEACHER</t>
  </si>
  <si>
    <t>SUBJECT</t>
  </si>
  <si>
    <t>SCIENCE</t>
  </si>
  <si>
    <t>GRADE LEVEL</t>
  </si>
  <si>
    <t>SECTION</t>
  </si>
  <si>
    <r>
      <rPr>
        <b/>
        <i/>
        <sz val="9"/>
        <color rgb="FF002060"/>
        <rFont val="Arial"/>
        <charset val="134"/>
      </rPr>
      <t>IMPORTANT NOTE:</t>
    </r>
    <r>
      <rPr>
        <i/>
        <sz val="9"/>
        <color rgb="FF002060"/>
        <rFont val="Arial"/>
        <charset val="134"/>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</si>
  <si>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2026_v1.0</t>
  </si>
  <si>
    <t>CLASS RECORD</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</si>
  <si>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</si>
  <si>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</si>
  <si>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</si>
  <si>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</si>
  <si>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</si>
  <si>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</si>
  <si>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</si>
  <si>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</si>
  <si>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</si>
  <si>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</si>
  <si>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</si>
  <si>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</si>
  <si>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</si>
  <si>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</si>
  <si>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</si>
  <si>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</si>
  <si>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</si>
  <si>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</si>
  <si>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SECOND TERM</t>
  </si>
  <si>
    <t>THIRD TERM</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</si>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</sst>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52">
    <font>
      <sz val="10"/>
      <color rgb="FF000000"/>
      <name val="Arial"/>
      <charset val="134"/>
      <scheme val="minor"/>
    </font>
    <font>
      <b/>
      <sz val="30"/>
      <color theme="1"/>
      <name val="Arial"/>
      <charset val="134"/>
    </font>
    <font>
      <sz val="22"/>
      <color theme="1"/>
      <name val="Arial"/>
      <charset val="134"/>
    </font>
    <font>
      <b/>
      <sz val="22"/>
      <color rgb="FFFF0000"/>
      <name val="Arial"/>
      <charset val="134"/>
    </font>
    <font>
      <sz val="12"/>
      <color theme="1"/>
      <name val="Arial"/>
      <charset val="134"/>
    </font>
    <font>
      <b/>
      <sz val="13"/>
      <color rgb="FFFFFFFF"/>
      <name val="Arial"/>
      <charset val="134"/>
    </font>
    <font>
      <sz val="10"/>
      <name val="Arial"/>
      <charset val="134"/>
      <scheme val="minor"/>
    </font>
    <font>
      <sz val="13"/>
      <color theme="1"/>
      <name val="Arial"/>
      <charset val="134"/>
    </font>
    <font>
      <b/>
      <sz val="12"/>
      <color rgb="FF000000"/>
      <name val="Arial"/>
      <charset val="134"/>
    </font>
    <font>
      <b/>
      <sz val="12"/>
      <color theme="1"/>
      <name val="Arial"/>
      <charset val="134"/>
    </font>
    <font>
      <sz val="10"/>
      <color theme="1"/>
      <name val="Arial"/>
      <charset val="134"/>
    </font>
    <font>
      <b/>
      <sz val="23"/>
      <color theme="1"/>
      <name val="Arial"/>
      <charset val="134"/>
    </font>
    <font>
      <b/>
      <sz val="26"/>
      <color rgb="FF000000"/>
      <name val="Arial"/>
      <charset val="134"/>
    </font>
    <font>
      <sz val="11"/>
      <color theme="1"/>
      <name val="Arial"/>
      <charset val="134"/>
    </font>
    <font>
      <sz val="10"/>
      <color rgb="FF002060"/>
      <name val="Arial"/>
      <charset val="134"/>
    </font>
    <font>
      <b/>
      <sz val="11"/>
      <color theme="1"/>
      <name val="Arial"/>
      <charset val="134"/>
    </font>
    <font>
      <sz val="10"/>
      <color rgb="FF000000"/>
      <name val="Arial"/>
      <charset val="134"/>
    </font>
    <font>
      <b/>
      <sz val="11"/>
      <color rgb="FFFFFFFF"/>
      <name val="Arial"/>
      <charset val="134"/>
    </font>
    <font>
      <b/>
      <sz val="10"/>
      <color rgb="FF000000"/>
      <name val="Arial"/>
      <charset val="134"/>
    </font>
    <font>
      <b/>
      <i/>
      <sz val="10"/>
      <color theme="1"/>
      <name val="Arial"/>
      <charset val="134"/>
    </font>
    <font>
      <b/>
      <sz val="23"/>
      <color rgb="FF000000"/>
      <name val="Arial"/>
      <charset val="134"/>
    </font>
    <font>
      <b/>
      <sz val="12"/>
      <color rgb="FF002060"/>
      <name val="Arial"/>
      <charset val="134"/>
    </font>
    <font>
      <b/>
      <sz val="21"/>
      <color theme="1"/>
      <name val="Arial"/>
      <charset val="134"/>
    </font>
    <font>
      <b/>
      <sz val="10"/>
      <color theme="1"/>
      <name val="Arial"/>
      <charset val="134"/>
    </font>
    <font>
      <b/>
      <i/>
      <sz val="11"/>
      <color theme="1"/>
      <name val="Arial"/>
      <charset val="134"/>
    </font>
    <font>
      <sz val="9"/>
      <color theme="1"/>
      <name val="Arial"/>
      <charset val="134"/>
    </font>
    <font>
      <b/>
      <sz val="9"/>
      <color theme="1"/>
      <name val="Arial"/>
      <charset val="134"/>
    </font>
    <font>
      <b/>
      <sz val="23"/>
      <color rgb="FF002060"/>
      <name val="Arial"/>
      <charset val="134"/>
    </font>
    <font>
      <b/>
      <sz val="11"/>
      <color rgb="FF002060"/>
      <name val="Arial"/>
      <charset val="134"/>
    </font>
    <font>
      <i/>
      <sz val="9"/>
      <color rgb="FF002060"/>
      <name val="Arial"/>
      <charset val="134"/>
    </font>
    <font>
      <i/>
      <sz val="8"/>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i/>
      <sz val="9"/>
      <color rgb="FF002060"/>
      <name val="Arial"/>
      <charset val="134"/>
    </font>
  </fonts>
  <fills count="49">
    <fill>
      <patternFill patternType="none"/>
    </fill>
    <fill>
      <patternFill patternType="gray125"/>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F2F2F2"/>
        <bgColor rgb="FFF2F2F2"/>
      </patternFill>
    </fill>
    <fill>
      <patternFill patternType="solid">
        <fgColor rgb="FF002060"/>
        <bgColor rgb="FF002060"/>
      </patternFill>
    </fill>
    <fill>
      <patternFill patternType="solid">
        <fgColor rgb="FF666666"/>
        <bgColor rgb="FF666666"/>
      </patternFill>
    </fill>
    <fill>
      <patternFill patternType="solid">
        <fgColor rgb="FFCFE2F3"/>
        <bgColor rgb="FFCFE2F3"/>
      </patternFill>
    </fill>
    <fill>
      <patternFill patternType="solid">
        <fgColor rgb="FFFFF2CC"/>
        <bgColor rgb="FFFFF2CC"/>
      </patternFill>
    </fill>
    <fill>
      <patternFill patternType="solid">
        <fgColor rgb="FFC9DAF8"/>
        <bgColor rgb="FFC9DAF8"/>
      </patternFill>
    </fill>
    <fill>
      <patternFill patternType="solid">
        <fgColor rgb="FFF3F3F3"/>
        <bgColor rgb="FFF3F3F3"/>
      </patternFill>
    </fill>
    <fill>
      <patternFill patternType="solid">
        <fgColor rgb="FF999999"/>
        <bgColor rgb="FF999999"/>
      </patternFill>
    </fill>
    <fill>
      <patternFill patternType="solid">
        <fgColor rgb="FFFFFFFF"/>
        <bgColor rgb="FFFFFFFF"/>
      </patternFill>
    </fill>
    <fill>
      <patternFill patternType="solid">
        <fgColor rgb="FFE7E6E6"/>
        <bgColor rgb="FFE7E6E6"/>
      </patternFill>
    </fill>
    <fill>
      <patternFill patternType="solid">
        <fgColor rgb="FFBFBFBF"/>
        <bgColor rgb="FFBFBFBF"/>
      </patternFill>
    </fill>
    <fill>
      <patternFill patternType="solid">
        <fgColor rgb="FFECECEC"/>
        <bgColor rgb="FFECECEC"/>
      </patternFill>
    </fill>
    <fill>
      <patternFill patternType="solid">
        <fgColor rgb="FFD8D8D8"/>
        <bgColor rgb="FFD8D8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diagonal/>
    </border>
    <border>
      <left style="medium">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style="hair">
        <color rgb="FF000000"/>
      </bottom>
      <diagonal/>
    </border>
    <border>
      <left style="hair">
        <color rgb="FF000000"/>
      </left>
      <right style="medium">
        <color rgb="FF000000"/>
      </right>
      <top style="hair">
        <color rgb="FF000000"/>
      </top>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right/>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top style="thin">
        <color rgb="FF000000"/>
      </top>
      <bottom/>
      <diagonal/>
    </border>
    <border>
      <left/>
      <right style="thin">
        <color rgb="FF000000"/>
      </right>
      <top/>
      <bottom/>
      <diagonal/>
    </border>
    <border>
      <left style="thin">
        <color rgb="FF000000"/>
      </left>
      <right/>
      <top/>
      <bottom style="thin">
        <color rgb="FF000000"/>
      </bottom>
      <diagonal/>
    </border>
    <border>
      <left style="medium">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41"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18" borderId="81"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82" applyNumberFormat="0" applyFill="0" applyAlignment="0" applyProtection="0">
      <alignment vertical="center"/>
    </xf>
    <xf numFmtId="0" fontId="38" fillId="0" borderId="82" applyNumberFormat="0" applyFill="0" applyAlignment="0" applyProtection="0">
      <alignment vertical="center"/>
    </xf>
    <xf numFmtId="0" fontId="39" fillId="0" borderId="83" applyNumberFormat="0" applyFill="0" applyAlignment="0" applyProtection="0">
      <alignment vertical="center"/>
    </xf>
    <xf numFmtId="0" fontId="39" fillId="0" borderId="0" applyNumberFormat="0" applyFill="0" applyBorder="0" applyAlignment="0" applyProtection="0">
      <alignment vertical="center"/>
    </xf>
    <xf numFmtId="0" fontId="40" fillId="19" borderId="84" applyNumberFormat="0" applyAlignment="0" applyProtection="0">
      <alignment vertical="center"/>
    </xf>
    <xf numFmtId="0" fontId="41" fillId="20" borderId="85" applyNumberFormat="0" applyAlignment="0" applyProtection="0">
      <alignment vertical="center"/>
    </xf>
    <xf numFmtId="0" fontId="42" fillId="20" borderId="84" applyNumberFormat="0" applyAlignment="0" applyProtection="0">
      <alignment vertical="center"/>
    </xf>
    <xf numFmtId="0" fontId="43" fillId="21" borderId="86" applyNumberFormat="0" applyAlignment="0" applyProtection="0">
      <alignment vertical="center"/>
    </xf>
    <xf numFmtId="0" fontId="44" fillId="0" borderId="87" applyNumberFormat="0" applyFill="0" applyAlignment="0" applyProtection="0">
      <alignment vertical="center"/>
    </xf>
    <xf numFmtId="0" fontId="45" fillId="0" borderId="88" applyNumberFormat="0" applyFill="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8" fillId="24" borderId="0" applyNumberFormat="0" applyBorder="0" applyAlignment="0" applyProtection="0">
      <alignment vertical="center"/>
    </xf>
    <xf numFmtId="0" fontId="49"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49" fillId="36" borderId="0" applyNumberFormat="0" applyBorder="0" applyAlignment="0" applyProtection="0">
      <alignment vertical="center"/>
    </xf>
    <xf numFmtId="0" fontId="49" fillId="37" borderId="0" applyNumberFormat="0" applyBorder="0" applyAlignment="0" applyProtection="0">
      <alignment vertical="center"/>
    </xf>
    <xf numFmtId="0" fontId="50" fillId="38" borderId="0" applyNumberFormat="0" applyBorder="0" applyAlignment="0" applyProtection="0">
      <alignment vertical="center"/>
    </xf>
    <xf numFmtId="0" fontId="50" fillId="39" borderId="0" applyNumberFormat="0" applyBorder="0" applyAlignment="0" applyProtection="0">
      <alignment vertical="center"/>
    </xf>
    <xf numFmtId="0" fontId="49" fillId="40" borderId="0" applyNumberFormat="0" applyBorder="0" applyAlignment="0" applyProtection="0">
      <alignment vertical="center"/>
    </xf>
    <xf numFmtId="0" fontId="49" fillId="41" borderId="0" applyNumberFormat="0" applyBorder="0" applyAlignment="0" applyProtection="0">
      <alignment vertical="center"/>
    </xf>
    <xf numFmtId="0" fontId="50" fillId="42" borderId="0" applyNumberFormat="0" applyBorder="0" applyAlignment="0" applyProtection="0">
      <alignment vertical="center"/>
    </xf>
    <xf numFmtId="0" fontId="50" fillId="43" borderId="0" applyNumberFormat="0" applyBorder="0" applyAlignment="0" applyProtection="0">
      <alignment vertical="center"/>
    </xf>
    <xf numFmtId="0" fontId="49" fillId="44" borderId="0" applyNumberFormat="0" applyBorder="0" applyAlignment="0" applyProtection="0">
      <alignment vertical="center"/>
    </xf>
    <xf numFmtId="0" fontId="49" fillId="45" borderId="0" applyNumberFormat="0" applyBorder="0" applyAlignment="0" applyProtection="0">
      <alignment vertical="center"/>
    </xf>
    <xf numFmtId="0" fontId="50" fillId="46" borderId="0" applyNumberFormat="0" applyBorder="0" applyAlignment="0" applyProtection="0">
      <alignment vertical="center"/>
    </xf>
    <xf numFmtId="0" fontId="50" fillId="47" borderId="0" applyNumberFormat="0" applyBorder="0" applyAlignment="0" applyProtection="0">
      <alignment vertical="center"/>
    </xf>
    <xf numFmtId="0" fontId="49" fillId="48" borderId="0" applyNumberFormat="0" applyBorder="0" applyAlignment="0" applyProtection="0">
      <alignment vertical="center"/>
    </xf>
  </cellStyleXfs>
  <cellXfs count="240">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Border="1" applyAlignment="1">
      <alignment horizontal="center"/>
    </xf>
    <xf numFmtId="0" fontId="6" fillId="0" borderId="0" xfId="0" applyFont="1" applyBorder="1"/>
    <xf numFmtId="0" fontId="7" fillId="0" borderId="0" xfId="0" applyFont="1"/>
    <xf numFmtId="0" fontId="5" fillId="3" borderId="1" xfId="0" applyFont="1" applyFill="1" applyBorder="1" applyAlignment="1">
      <alignment horizontal="center"/>
    </xf>
    <xf numFmtId="0" fontId="6" fillId="0" borderId="2" xfId="0" applyFont="1" applyBorder="1"/>
    <xf numFmtId="0" fontId="6" fillId="0" borderId="3" xfId="0" applyFont="1" applyBorder="1"/>
    <xf numFmtId="0" fontId="7" fillId="0" borderId="4" xfId="0" applyFont="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7" fillId="0" borderId="9" xfId="0" applyFont="1" applyBorder="1" applyAlignment="1">
      <alignment horizontal="center" vertical="center" wrapText="1"/>
    </xf>
    <xf numFmtId="2" fontId="8" fillId="0" borderId="10" xfId="0" applyNumberFormat="1" applyFont="1" applyBorder="1" applyAlignment="1">
      <alignment horizontal="center"/>
    </xf>
    <xf numFmtId="0" fontId="8" fillId="0" borderId="11" xfId="0" applyFont="1" applyBorder="1" applyAlignment="1">
      <alignment horizontal="center"/>
    </xf>
    <xf numFmtId="0" fontId="8" fillId="0" borderId="12" xfId="0" applyFont="1" applyBorder="1" applyAlignment="1">
      <alignment horizontal="center"/>
    </xf>
    <xf numFmtId="0" fontId="8" fillId="0" borderId="13" xfId="0" applyFont="1" applyBorder="1" applyAlignment="1">
      <alignment horizontal="center"/>
    </xf>
    <xf numFmtId="0" fontId="9" fillId="0" borderId="14" xfId="0" applyFont="1" applyBorder="1" applyAlignment="1">
      <alignment horizontal="center"/>
    </xf>
    <xf numFmtId="0" fontId="4" fillId="0" borderId="15" xfId="0" applyFont="1" applyBorder="1" applyAlignment="1">
      <alignment horizontal="center" vertical="center" wrapText="1"/>
    </xf>
    <xf numFmtId="0" fontId="8" fillId="0" borderId="16" xfId="0" applyFont="1" applyBorder="1" applyAlignment="1">
      <alignment horizontal="center"/>
    </xf>
    <xf numFmtId="0" fontId="8" fillId="0" borderId="17" xfId="0" applyFont="1" applyBorder="1" applyAlignment="1">
      <alignment horizontal="center"/>
    </xf>
    <xf numFmtId="0" fontId="8" fillId="0" borderId="18" xfId="0" applyFont="1" applyBorder="1" applyAlignment="1">
      <alignment horizontal="center"/>
    </xf>
    <xf numFmtId="0" fontId="8" fillId="0" borderId="19" xfId="0" applyFont="1" applyBorder="1" applyAlignment="1">
      <alignment horizontal="center"/>
    </xf>
    <xf numFmtId="0" fontId="9" fillId="0" borderId="20" xfId="0" applyFont="1" applyBorder="1" applyAlignment="1">
      <alignment horizontal="center"/>
    </xf>
    <xf numFmtId="0" fontId="6" fillId="0" borderId="15" xfId="0" applyFont="1" applyBorder="1"/>
    <xf numFmtId="2" fontId="8" fillId="0" borderId="16" xfId="0" applyNumberFormat="1" applyFont="1" applyBorder="1" applyAlignment="1">
      <alignment horizontal="center"/>
    </xf>
    <xf numFmtId="0" fontId="6" fillId="0" borderId="21" xfId="0" applyFont="1" applyBorder="1"/>
    <xf numFmtId="0" fontId="4" fillId="0" borderId="22" xfId="0" applyFont="1" applyBorder="1" applyAlignment="1">
      <alignment horizontal="center" vertical="center" wrapText="1"/>
    </xf>
    <xf numFmtId="0" fontId="8" fillId="4" borderId="16" xfId="0" applyFont="1" applyFill="1" applyBorder="1" applyAlignment="1">
      <alignment horizontal="center"/>
    </xf>
    <xf numFmtId="0" fontId="8" fillId="4" borderId="17" xfId="0" applyFont="1" applyFill="1" applyBorder="1" applyAlignment="1">
      <alignment horizontal="center"/>
    </xf>
    <xf numFmtId="0" fontId="8" fillId="4" borderId="18" xfId="0" applyFont="1" applyFill="1" applyBorder="1" applyAlignment="1">
      <alignment horizontal="center"/>
    </xf>
    <xf numFmtId="2" fontId="8" fillId="0" borderId="17" xfId="0" applyNumberFormat="1" applyFont="1" applyBorder="1" applyAlignment="1">
      <alignment horizontal="center"/>
    </xf>
    <xf numFmtId="0" fontId="8" fillId="0" borderId="23" xfId="0" applyFont="1" applyBorder="1" applyAlignment="1">
      <alignment horizontal="center"/>
    </xf>
    <xf numFmtId="0" fontId="8" fillId="0" borderId="24" xfId="0" applyFont="1" applyBorder="1" applyAlignment="1">
      <alignment horizontal="center"/>
    </xf>
    <xf numFmtId="0" fontId="8" fillId="0" borderId="25" xfId="0" applyFont="1" applyBorder="1" applyAlignment="1">
      <alignment horizontal="center"/>
    </xf>
    <xf numFmtId="0" fontId="8" fillId="0" borderId="26" xfId="0" applyFont="1" applyBorder="1" applyAlignment="1">
      <alignment horizontal="center"/>
    </xf>
    <xf numFmtId="0" fontId="9" fillId="0" borderId="27" xfId="0" applyFont="1" applyBorder="1" applyAlignment="1">
      <alignment horizontal="center"/>
    </xf>
    <xf numFmtId="0" fontId="6" fillId="0" borderId="28" xfId="0" applyFont="1" applyBorder="1"/>
    <xf numFmtId="0" fontId="10" fillId="0" borderId="0" xfId="0" applyFont="1" applyAlignment="1">
      <alignment horizontal="center"/>
    </xf>
    <xf numFmtId="0" fontId="4" fillId="0" borderId="0" xfId="0" applyFont="1" applyAlignment="1">
      <alignment horizontal="center" vertical="center" wrapText="1"/>
    </xf>
    <xf numFmtId="0" fontId="11" fillId="0" borderId="0" xfId="0" applyFont="1"/>
    <xf numFmtId="0" fontId="10" fillId="0" borderId="0" xfId="0" applyFont="1"/>
    <xf numFmtId="0" fontId="12" fillId="0" borderId="0" xfId="0" applyFont="1" applyAlignment="1">
      <alignment horizontal="center"/>
    </xf>
    <xf numFmtId="0" fontId="9" fillId="0" borderId="0" xfId="0" applyFont="1" applyAlignment="1">
      <alignment horizontal="right" vertical="center"/>
    </xf>
    <xf numFmtId="0" fontId="13" fillId="5" borderId="29" xfId="0" applyFont="1" applyFill="1" applyBorder="1" applyAlignment="1">
      <alignment horizontal="center" vertical="center"/>
    </xf>
    <xf numFmtId="0" fontId="6" fillId="0" borderId="30" xfId="0" applyFont="1" applyBorder="1"/>
    <xf numFmtId="0" fontId="6" fillId="0" borderId="31" xfId="0" applyFont="1" applyBorder="1"/>
    <xf numFmtId="0" fontId="9" fillId="0" borderId="0" xfId="0" applyFont="1" applyAlignment="1">
      <alignment horizontal="right"/>
    </xf>
    <xf numFmtId="0" fontId="9" fillId="0" borderId="0" xfId="0" applyFont="1" applyAlignment="1">
      <alignment horizontal="center"/>
    </xf>
    <xf numFmtId="0" fontId="14" fillId="6" borderId="32" xfId="0" applyFont="1" applyFill="1" applyBorder="1" applyAlignment="1">
      <alignment horizontal="center"/>
    </xf>
    <xf numFmtId="0" fontId="6" fillId="0" borderId="32" xfId="0" applyFont="1" applyBorder="1"/>
    <xf numFmtId="0" fontId="15" fillId="0" borderId="29" xfId="0" applyFont="1" applyBorder="1" applyAlignment="1">
      <alignment vertical="center"/>
    </xf>
    <xf numFmtId="0" fontId="15" fillId="0" borderId="33" xfId="0" applyFont="1" applyBorder="1" applyAlignment="1">
      <alignment horizontal="right" vertical="center"/>
    </xf>
    <xf numFmtId="0" fontId="13" fillId="5" borderId="2" xfId="0" applyFont="1" applyFill="1" applyBorder="1" applyAlignment="1">
      <alignment horizontal="center" vertical="center"/>
    </xf>
    <xf numFmtId="0" fontId="15" fillId="0" borderId="34" xfId="0" applyFont="1" applyBorder="1" applyAlignment="1">
      <alignment horizontal="right" vertical="center"/>
    </xf>
    <xf numFmtId="0" fontId="15" fillId="0" borderId="1" xfId="0" applyFont="1" applyBorder="1" applyAlignment="1">
      <alignment horizontal="center" vertical="center"/>
    </xf>
    <xf numFmtId="0" fontId="15" fillId="0" borderId="29" xfId="0" applyFont="1" applyBorder="1" applyAlignment="1">
      <alignment horizontal="center" vertical="center"/>
    </xf>
    <xf numFmtId="0" fontId="15" fillId="0" borderId="3" xfId="0" applyFont="1" applyBorder="1" applyAlignment="1">
      <alignment horizontal="center" vertical="center"/>
    </xf>
    <xf numFmtId="0" fontId="15" fillId="0" borderId="34" xfId="0" applyFont="1" applyBorder="1" applyAlignment="1">
      <alignment horizontal="center" vertical="center"/>
    </xf>
    <xf numFmtId="0" fontId="16" fillId="0" borderId="0" xfId="0" applyFont="1"/>
    <xf numFmtId="0" fontId="6" fillId="0" borderId="35" xfId="0" applyFont="1" applyBorder="1"/>
    <xf numFmtId="0" fontId="15" fillId="0" borderId="33" xfId="0" applyFont="1" applyBorder="1" applyAlignment="1">
      <alignment horizontal="center" vertical="center"/>
    </xf>
    <xf numFmtId="0" fontId="6" fillId="0" borderId="36" xfId="0" applyFont="1" applyBorder="1"/>
    <xf numFmtId="0" fontId="6" fillId="0" borderId="37" xfId="0" applyFont="1" applyBorder="1"/>
    <xf numFmtId="0" fontId="17" fillId="7" borderId="29" xfId="0" applyFont="1" applyFill="1" applyBorder="1"/>
    <xf numFmtId="0" fontId="18" fillId="0" borderId="0" xfId="0" applyFont="1" applyAlignment="1">
      <alignment horizontal="center"/>
    </xf>
    <xf numFmtId="0" fontId="15" fillId="8" borderId="38" xfId="0" applyFont="1" applyFill="1" applyBorder="1" applyAlignment="1">
      <alignment horizontal="center"/>
    </xf>
    <xf numFmtId="0" fontId="13" fillId="5" borderId="39" xfId="0" applyFont="1" applyFill="1" applyBorder="1" applyAlignment="1">
      <alignment vertical="center"/>
    </xf>
    <xf numFmtId="0" fontId="6" fillId="0" borderId="39" xfId="0" applyFont="1" applyBorder="1"/>
    <xf numFmtId="0" fontId="10" fillId="5" borderId="40" xfId="0" applyFont="1" applyFill="1" applyBorder="1" applyAlignment="1">
      <alignment horizontal="center" vertical="center"/>
    </xf>
    <xf numFmtId="0" fontId="10" fillId="5" borderId="41" xfId="0" applyFont="1" applyFill="1" applyBorder="1" applyAlignment="1">
      <alignment horizontal="center" vertical="center"/>
    </xf>
    <xf numFmtId="1" fontId="19" fillId="5" borderId="42" xfId="0" applyNumberFormat="1" applyFont="1" applyFill="1" applyBorder="1" applyAlignment="1">
      <alignment horizontal="center" vertical="center"/>
    </xf>
    <xf numFmtId="0" fontId="19" fillId="5" borderId="40" xfId="0" applyFont="1" applyFill="1" applyBorder="1" applyAlignment="1">
      <alignment horizontal="center" vertical="center"/>
    </xf>
    <xf numFmtId="0" fontId="19" fillId="0" borderId="41" xfId="0" applyFont="1" applyBorder="1" applyAlignment="1">
      <alignment horizontal="center" vertical="center"/>
    </xf>
    <xf numFmtId="0" fontId="18" fillId="0" borderId="0" xfId="0" applyFont="1" applyAlignment="1">
      <alignment horizontal="center" vertical="center"/>
    </xf>
    <xf numFmtId="0" fontId="15" fillId="8" borderId="43" xfId="0" applyFont="1" applyFill="1" applyBorder="1" applyAlignment="1">
      <alignment horizont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1" fontId="19" fillId="5" borderId="46" xfId="0" applyNumberFormat="1" applyFont="1" applyFill="1" applyBorder="1" applyAlignment="1">
      <alignment horizontal="center" vertical="center"/>
    </xf>
    <xf numFmtId="0" fontId="19" fillId="5" borderId="44" xfId="0" applyFont="1" applyFill="1" applyBorder="1" applyAlignment="1">
      <alignment horizontal="center" vertical="center"/>
    </xf>
    <xf numFmtId="0" fontId="19" fillId="0" borderId="45" xfId="0" applyFont="1" applyBorder="1" applyAlignment="1">
      <alignment horizontal="center" vertical="center"/>
    </xf>
    <xf numFmtId="0" fontId="18" fillId="0" borderId="0" xfId="0" applyFont="1"/>
    <xf numFmtId="0" fontId="15" fillId="8" borderId="47" xfId="0" applyFont="1" applyFill="1" applyBorder="1" applyAlignment="1">
      <alignment horizontal="center"/>
    </xf>
    <xf numFmtId="0" fontId="13" fillId="5" borderId="0" xfId="0" applyFont="1" applyFill="1" applyBorder="1" applyAlignment="1">
      <alignment vertical="center"/>
    </xf>
    <xf numFmtId="0" fontId="10" fillId="5" borderId="48" xfId="0" applyFont="1" applyFill="1" applyBorder="1" applyAlignment="1">
      <alignment horizontal="center" vertical="center"/>
    </xf>
    <xf numFmtId="0" fontId="10" fillId="5" borderId="49" xfId="0" applyFont="1" applyFill="1" applyBorder="1" applyAlignment="1">
      <alignment horizontal="center" vertical="center"/>
    </xf>
    <xf numFmtId="1" fontId="19" fillId="5" borderId="50" xfId="0" applyNumberFormat="1" applyFont="1" applyFill="1" applyBorder="1" applyAlignment="1">
      <alignment horizontal="center" vertical="center"/>
    </xf>
    <xf numFmtId="0" fontId="19" fillId="5" borderId="48" xfId="0" applyFont="1" applyFill="1" applyBorder="1" applyAlignment="1">
      <alignment horizontal="center" vertical="center"/>
    </xf>
    <xf numFmtId="0" fontId="19" fillId="0" borderId="49" xfId="0" applyFont="1" applyBorder="1" applyAlignment="1">
      <alignment horizontal="center" vertical="center"/>
    </xf>
    <xf numFmtId="0" fontId="15" fillId="9" borderId="51" xfId="0" applyFont="1" applyFill="1" applyBorder="1" applyAlignment="1">
      <alignment horizontal="center"/>
    </xf>
    <xf numFmtId="0" fontId="10" fillId="5" borderId="52" xfId="0" applyFont="1" applyFill="1" applyBorder="1" applyAlignment="1">
      <alignment horizontal="center" vertical="center"/>
    </xf>
    <xf numFmtId="0" fontId="19" fillId="5" borderId="41" xfId="0" applyFont="1" applyFill="1" applyBorder="1" applyAlignment="1">
      <alignment horizontal="center" vertical="center"/>
    </xf>
    <xf numFmtId="0" fontId="15" fillId="9" borderId="43" xfId="0" applyFont="1" applyFill="1" applyBorder="1" applyAlignment="1">
      <alignment horizontal="center"/>
    </xf>
    <xf numFmtId="0" fontId="19" fillId="5" borderId="45" xfId="0" applyFont="1" applyFill="1" applyBorder="1" applyAlignment="1">
      <alignment horizontal="center" vertical="center"/>
    </xf>
    <xf numFmtId="0" fontId="15" fillId="9" borderId="47" xfId="0" applyFont="1" applyFill="1" applyBorder="1" applyAlignment="1">
      <alignment horizontal="center"/>
    </xf>
    <xf numFmtId="0" fontId="15" fillId="9" borderId="53" xfId="0" applyFont="1" applyFill="1" applyBorder="1" applyAlignment="1">
      <alignment horizontal="center"/>
    </xf>
    <xf numFmtId="0" fontId="13" fillId="5" borderId="54" xfId="0" applyFont="1" applyFill="1" applyBorder="1" applyAlignment="1">
      <alignment vertical="center"/>
    </xf>
    <xf numFmtId="0" fontId="6" fillId="0" borderId="50" xfId="0" applyFont="1" applyBorder="1"/>
    <xf numFmtId="0" fontId="19" fillId="5" borderId="49" xfId="0" applyFont="1" applyFill="1" applyBorder="1" applyAlignment="1">
      <alignment horizontal="center" vertical="center"/>
    </xf>
    <xf numFmtId="0" fontId="11" fillId="0" borderId="0" xfId="0" applyFont="1" applyAlignment="1">
      <alignment horizontal="center" vertical="center"/>
    </xf>
    <xf numFmtId="0" fontId="20" fillId="0" borderId="0" xfId="0" applyFont="1" applyAlignment="1">
      <alignment horizontal="center"/>
    </xf>
    <xf numFmtId="0" fontId="4" fillId="5" borderId="29" xfId="0" applyFont="1" applyFill="1" applyBorder="1" applyAlignment="1">
      <alignment horizontal="center"/>
    </xf>
    <xf numFmtId="0" fontId="10" fillId="0" borderId="0" xfId="0" applyFont="1" applyAlignment="1">
      <alignment vertical="center"/>
    </xf>
    <xf numFmtId="0" fontId="4" fillId="0" borderId="31" xfId="0" applyFont="1" applyBorder="1" applyAlignment="1">
      <alignment horizontal="center"/>
    </xf>
    <xf numFmtId="0" fontId="10" fillId="0" borderId="31" xfId="0" applyFont="1" applyBorder="1" applyAlignment="1">
      <alignment horizontal="center"/>
    </xf>
    <xf numFmtId="0" fontId="21" fillId="6" borderId="29" xfId="0" applyFont="1" applyFill="1" applyBorder="1" applyAlignment="1">
      <alignment horizontal="center"/>
    </xf>
    <xf numFmtId="0" fontId="22" fillId="5" borderId="55" xfId="0" applyFont="1" applyFill="1" applyBorder="1" applyAlignment="1">
      <alignment horizontal="center" vertical="center"/>
    </xf>
    <xf numFmtId="0" fontId="6" fillId="0" borderId="56" xfId="0" applyFont="1" applyBorder="1"/>
    <xf numFmtId="0" fontId="15" fillId="0" borderId="35" xfId="0" applyFont="1" applyBorder="1" applyAlignment="1">
      <alignment vertical="center"/>
    </xf>
    <xf numFmtId="0" fontId="13" fillId="5" borderId="35" xfId="0" applyFont="1" applyFill="1" applyBorder="1" applyAlignment="1">
      <alignment horizontal="center" vertical="center"/>
    </xf>
    <xf numFmtId="0" fontId="15" fillId="5" borderId="55" xfId="0" applyFont="1" applyFill="1" applyBorder="1" applyAlignment="1">
      <alignment horizontal="center" vertical="center"/>
    </xf>
    <xf numFmtId="0" fontId="13" fillId="5" borderId="55" xfId="0" applyFont="1" applyFill="1" applyBorder="1" applyAlignment="1">
      <alignment horizontal="center" vertical="center"/>
    </xf>
    <xf numFmtId="0" fontId="6" fillId="0" borderId="55" xfId="0" applyFont="1" applyBorder="1"/>
    <xf numFmtId="0" fontId="15" fillId="5" borderId="1" xfId="0" applyFont="1" applyFill="1" applyBorder="1" applyAlignment="1">
      <alignment horizontal="center" vertical="center"/>
    </xf>
    <xf numFmtId="0" fontId="15" fillId="5" borderId="1" xfId="0" applyFont="1" applyFill="1" applyBorder="1" applyAlignment="1">
      <alignment horizontal="center" vertical="center" wrapText="1"/>
    </xf>
    <xf numFmtId="0" fontId="15" fillId="5" borderId="34" xfId="0" applyFont="1" applyFill="1" applyBorder="1" applyAlignment="1">
      <alignment horizontal="center" vertical="center" wrapText="1"/>
    </xf>
    <xf numFmtId="0" fontId="6" fillId="0" borderId="57" xfId="0" applyFont="1" applyBorder="1"/>
    <xf numFmtId="0" fontId="23" fillId="10" borderId="38" xfId="0" applyFont="1" applyFill="1" applyBorder="1" applyAlignment="1">
      <alignment horizontal="center" vertical="center"/>
    </xf>
    <xf numFmtId="0" fontId="23" fillId="10" borderId="58" xfId="0" applyFont="1" applyFill="1" applyBorder="1" applyAlignment="1">
      <alignment horizontal="center" vertical="center"/>
    </xf>
    <xf numFmtId="0" fontId="23" fillId="10" borderId="59" xfId="0" applyFont="1" applyFill="1" applyBorder="1" applyAlignment="1">
      <alignment horizontal="center" vertical="center"/>
    </xf>
    <xf numFmtId="0" fontId="23" fillId="11" borderId="41" xfId="0" applyFont="1" applyFill="1" applyBorder="1" applyAlignment="1">
      <alignment horizontal="center" vertical="center"/>
    </xf>
    <xf numFmtId="0" fontId="23" fillId="11" borderId="38" xfId="0" applyFont="1" applyFill="1" applyBorder="1" applyAlignment="1">
      <alignment horizontal="center" vertical="center"/>
    </xf>
    <xf numFmtId="0" fontId="23" fillId="11" borderId="58" xfId="0" applyFont="1" applyFill="1" applyBorder="1" applyAlignment="1">
      <alignment horizontal="center" vertical="center"/>
    </xf>
    <xf numFmtId="0" fontId="23" fillId="11" borderId="60" xfId="0" applyFont="1" applyFill="1" applyBorder="1" applyAlignment="1">
      <alignment horizontal="center" vertical="center"/>
    </xf>
    <xf numFmtId="0" fontId="24" fillId="5" borderId="29" xfId="0" applyFont="1" applyFill="1" applyBorder="1" applyAlignment="1">
      <alignment horizontal="right"/>
    </xf>
    <xf numFmtId="0" fontId="23" fillId="0" borderId="53" xfId="0" applyFont="1" applyBorder="1" applyAlignment="1">
      <alignment horizontal="center" vertical="center"/>
    </xf>
    <xf numFmtId="0" fontId="23" fillId="0" borderId="61" xfId="0" applyFont="1" applyBorder="1" applyAlignment="1">
      <alignment horizontal="center" vertical="center"/>
    </xf>
    <xf numFmtId="0" fontId="23" fillId="0" borderId="54" xfId="0" applyFont="1" applyBorder="1" applyAlignment="1">
      <alignment horizontal="center" vertical="center"/>
    </xf>
    <xf numFmtId="0" fontId="23" fillId="11" borderId="37" xfId="0" applyFont="1" applyFill="1" applyBorder="1" applyAlignment="1">
      <alignment horizontal="center" vertical="center"/>
    </xf>
    <xf numFmtId="1" fontId="23" fillId="11" borderId="37" xfId="0" applyNumberFormat="1" applyFont="1" applyFill="1" applyBorder="1" applyAlignment="1">
      <alignment horizontal="center" vertical="center"/>
    </xf>
    <xf numFmtId="9" fontId="23" fillId="11" borderId="37" xfId="0" applyNumberFormat="1" applyFont="1" applyFill="1" applyBorder="1" applyAlignment="1">
      <alignment horizontal="center" vertical="center"/>
    </xf>
    <xf numFmtId="1" fontId="23" fillId="11" borderId="49" xfId="0" applyNumberFormat="1" applyFont="1" applyFill="1" applyBorder="1" applyAlignment="1">
      <alignment horizontal="center" vertical="center"/>
    </xf>
    <xf numFmtId="9" fontId="23" fillId="11" borderId="49" xfId="0" applyNumberFormat="1" applyFont="1" applyFill="1" applyBorder="1" applyAlignment="1">
      <alignment horizontal="center" vertical="center"/>
    </xf>
    <xf numFmtId="0" fontId="23" fillId="11" borderId="53" xfId="0" applyFont="1" applyFill="1" applyBorder="1" applyAlignment="1">
      <alignment horizontal="center" vertical="center"/>
    </xf>
    <xf numFmtId="0" fontId="23" fillId="11" borderId="61" xfId="0" applyFont="1" applyFill="1" applyBorder="1" applyAlignment="1">
      <alignment horizontal="center" vertical="center"/>
    </xf>
    <xf numFmtId="0" fontId="23" fillId="11" borderId="62" xfId="0" applyFont="1" applyFill="1" applyBorder="1" applyAlignment="1">
      <alignment horizontal="center" vertical="center"/>
    </xf>
    <xf numFmtId="0" fontId="17" fillId="6" borderId="29" xfId="0" applyFont="1" applyFill="1" applyBorder="1"/>
    <xf numFmtId="0" fontId="17" fillId="12" borderId="29" xfId="0" applyFont="1" applyFill="1" applyBorder="1"/>
    <xf numFmtId="0" fontId="15" fillId="8" borderId="51" xfId="0" applyFont="1" applyFill="1" applyBorder="1" applyAlignment="1">
      <alignment horizontal="center"/>
    </xf>
    <xf numFmtId="0" fontId="13" fillId="5" borderId="39" xfId="0" applyFont="1" applyFill="1" applyBorder="1"/>
    <xf numFmtId="0" fontId="25" fillId="0" borderId="38" xfId="0" applyFont="1" applyBorder="1" applyAlignment="1">
      <alignment horizontal="center" vertical="center"/>
    </xf>
    <xf numFmtId="0" fontId="25" fillId="0" borderId="58" xfId="0" applyFont="1" applyBorder="1" applyAlignment="1">
      <alignment horizontal="center" vertical="center"/>
    </xf>
    <xf numFmtId="0" fontId="25" fillId="0" borderId="60" xfId="0" applyFont="1" applyBorder="1" applyAlignment="1">
      <alignment horizontal="center" vertical="center"/>
    </xf>
    <xf numFmtId="0" fontId="26" fillId="11" borderId="63" xfId="0" applyFont="1" applyFill="1" applyBorder="1" applyAlignment="1">
      <alignment horizontal="center" vertical="center"/>
    </xf>
    <xf numFmtId="0" fontId="26" fillId="11" borderId="64" xfId="0" applyFont="1" applyFill="1" applyBorder="1" applyAlignment="1">
      <alignment horizontal="center" vertical="center"/>
    </xf>
    <xf numFmtId="4" fontId="26" fillId="11" borderId="65" xfId="0" applyNumberFormat="1" applyFont="1" applyFill="1" applyBorder="1" applyAlignment="1">
      <alignment horizontal="center" vertical="center"/>
    </xf>
    <xf numFmtId="4" fontId="26" fillId="11" borderId="64" xfId="0" applyNumberFormat="1" applyFont="1" applyFill="1" applyBorder="1" applyAlignment="1">
      <alignment horizontal="center" vertical="center"/>
    </xf>
    <xf numFmtId="4" fontId="26" fillId="11" borderId="66" xfId="0" applyNumberFormat="1" applyFont="1" applyFill="1" applyBorder="1" applyAlignment="1">
      <alignment horizontal="center" vertical="center"/>
    </xf>
    <xf numFmtId="4" fontId="26" fillId="11" borderId="67" xfId="0" applyNumberFormat="1" applyFont="1" applyFill="1" applyBorder="1" applyAlignment="1">
      <alignment horizontal="center" vertical="center"/>
    </xf>
    <xf numFmtId="4" fontId="26" fillId="11" borderId="68" xfId="0" applyNumberFormat="1" applyFont="1" applyFill="1" applyBorder="1" applyAlignment="1">
      <alignment horizontal="center" vertical="center"/>
    </xf>
    <xf numFmtId="4" fontId="26" fillId="11" borderId="69" xfId="0" applyNumberFormat="1" applyFont="1" applyFill="1" applyBorder="1" applyAlignment="1">
      <alignment horizontal="center" vertical="center"/>
    </xf>
    <xf numFmtId="4" fontId="26" fillId="11" borderId="70" xfId="0" applyNumberFormat="1" applyFont="1" applyFill="1" applyBorder="1" applyAlignment="1">
      <alignment horizontal="center" vertical="center"/>
    </xf>
    <xf numFmtId="4" fontId="26" fillId="13" borderId="0" xfId="0" applyNumberFormat="1" applyFont="1" applyFill="1" applyBorder="1" applyAlignment="1">
      <alignment horizontal="center" vertical="center"/>
    </xf>
    <xf numFmtId="1" fontId="19" fillId="0" borderId="40" xfId="0" applyNumberFormat="1" applyFont="1" applyBorder="1" applyAlignment="1">
      <alignment horizontal="center" vertical="center"/>
    </xf>
    <xf numFmtId="0" fontId="25" fillId="0" borderId="43" xfId="0" applyFont="1" applyBorder="1" applyAlignment="1">
      <alignment horizontal="center" vertical="center"/>
    </xf>
    <xf numFmtId="0" fontId="25" fillId="0" borderId="71" xfId="0" applyFont="1" applyBorder="1" applyAlignment="1">
      <alignment horizontal="center" vertical="center"/>
    </xf>
    <xf numFmtId="0" fontId="25" fillId="0" borderId="72" xfId="0" applyFont="1" applyBorder="1" applyAlignment="1">
      <alignment horizontal="center" vertical="center"/>
    </xf>
    <xf numFmtId="0" fontId="26" fillId="11" borderId="73" xfId="0" applyFont="1" applyFill="1" applyBorder="1" applyAlignment="1">
      <alignment horizontal="center" vertical="center"/>
    </xf>
    <xf numFmtId="0" fontId="26" fillId="11" borderId="71" xfId="0" applyFont="1" applyFill="1" applyBorder="1" applyAlignment="1">
      <alignment horizontal="center" vertical="center"/>
    </xf>
    <xf numFmtId="4" fontId="26" fillId="11" borderId="74" xfId="0" applyNumberFormat="1" applyFont="1" applyFill="1" applyBorder="1" applyAlignment="1">
      <alignment horizontal="center" vertical="center"/>
    </xf>
    <xf numFmtId="4" fontId="26" fillId="11" borderId="71" xfId="0" applyNumberFormat="1" applyFont="1" applyFill="1" applyBorder="1" applyAlignment="1">
      <alignment horizontal="center" vertical="center"/>
    </xf>
    <xf numFmtId="4" fontId="26" fillId="11" borderId="73" xfId="0" applyNumberFormat="1" applyFont="1" applyFill="1" applyBorder="1" applyAlignment="1">
      <alignment horizontal="center" vertical="center"/>
    </xf>
    <xf numFmtId="4" fontId="26" fillId="11" borderId="43" xfId="0" applyNumberFormat="1" applyFont="1" applyFill="1" applyBorder="1" applyAlignment="1">
      <alignment horizontal="center" vertical="center"/>
    </xf>
    <xf numFmtId="4" fontId="26" fillId="11" borderId="72" xfId="0" applyNumberFormat="1" applyFont="1" applyFill="1" applyBorder="1" applyAlignment="1">
      <alignment horizontal="center" vertical="center"/>
    </xf>
    <xf numFmtId="4" fontId="26" fillId="13" borderId="46" xfId="0" applyNumberFormat="1" applyFont="1" applyFill="1" applyBorder="1" applyAlignment="1">
      <alignment horizontal="center" vertical="center"/>
    </xf>
    <xf numFmtId="1" fontId="19" fillId="0" borderId="44" xfId="0" applyNumberFormat="1" applyFont="1" applyBorder="1" applyAlignment="1">
      <alignment horizontal="center" vertical="center"/>
    </xf>
    <xf numFmtId="0" fontId="13" fillId="5" borderId="39" xfId="0" applyFont="1" applyFill="1" applyBorder="1" applyAlignment="1">
      <alignment horizontal="left" vertical="center"/>
    </xf>
    <xf numFmtId="0" fontId="25" fillId="0" borderId="53" xfId="0" applyFont="1" applyBorder="1" applyAlignment="1">
      <alignment horizontal="center" vertical="center"/>
    </xf>
    <xf numFmtId="0" fontId="25" fillId="0" borderId="61" xfId="0" applyFont="1" applyBorder="1" applyAlignment="1">
      <alignment horizontal="center" vertical="center"/>
    </xf>
    <xf numFmtId="0" fontId="25" fillId="0" borderId="62" xfId="0" applyFont="1" applyBorder="1" applyAlignment="1">
      <alignment horizontal="center" vertical="center"/>
    </xf>
    <xf numFmtId="1" fontId="19" fillId="0" borderId="48" xfId="0" applyNumberFormat="1" applyFont="1" applyBorder="1" applyAlignment="1">
      <alignment horizontal="center" vertical="center"/>
    </xf>
    <xf numFmtId="0" fontId="17" fillId="12" borderId="1" xfId="0" applyFont="1" applyFill="1" applyBorder="1"/>
    <xf numFmtId="0" fontId="15" fillId="9" borderId="38" xfId="0" applyFont="1" applyFill="1" applyBorder="1" applyAlignment="1">
      <alignment horizontal="center"/>
    </xf>
    <xf numFmtId="0" fontId="13" fillId="5" borderId="42" xfId="0" applyFont="1" applyFill="1" applyBorder="1" applyAlignment="1">
      <alignment horizontal="left"/>
    </xf>
    <xf numFmtId="0" fontId="6" fillId="0" borderId="42" xfId="0" applyFont="1" applyBorder="1"/>
    <xf numFmtId="0" fontId="26" fillId="11" borderId="75" xfId="0" applyFont="1" applyFill="1" applyBorder="1" applyAlignment="1">
      <alignment horizontal="center" vertical="center"/>
    </xf>
    <xf numFmtId="4" fontId="26" fillId="11" borderId="58" xfId="0" applyNumberFormat="1" applyFont="1" applyFill="1" applyBorder="1" applyAlignment="1">
      <alignment horizontal="center" vertical="center"/>
    </xf>
    <xf numFmtId="4" fontId="26" fillId="11" borderId="59" xfId="0" applyNumberFormat="1" applyFont="1" applyFill="1" applyBorder="1" applyAlignment="1">
      <alignment horizontal="center" vertical="center"/>
    </xf>
    <xf numFmtId="4" fontId="26" fillId="11" borderId="75" xfId="0" applyNumberFormat="1" applyFont="1" applyFill="1" applyBorder="1" applyAlignment="1">
      <alignment horizontal="center" vertical="center"/>
    </xf>
    <xf numFmtId="4" fontId="26" fillId="11" borderId="38" xfId="0" applyNumberFormat="1" applyFont="1" applyFill="1" applyBorder="1" applyAlignment="1">
      <alignment horizontal="center" vertical="center"/>
    </xf>
    <xf numFmtId="4" fontId="26" fillId="11" borderId="60" xfId="0" applyNumberFormat="1" applyFont="1" applyFill="1" applyBorder="1" applyAlignment="1">
      <alignment horizontal="center" vertical="center"/>
    </xf>
    <xf numFmtId="4" fontId="26" fillId="13" borderId="42" xfId="0" applyNumberFormat="1" applyFont="1" applyFill="1" applyBorder="1" applyAlignment="1">
      <alignment horizontal="center" vertical="center"/>
    </xf>
    <xf numFmtId="0" fontId="13" fillId="5" borderId="74" xfId="0" applyFont="1" applyFill="1" applyBorder="1" applyAlignment="1">
      <alignment horizontal="left"/>
    </xf>
    <xf numFmtId="0" fontId="6" fillId="0" borderId="46" xfId="0" applyFont="1" applyBorder="1"/>
    <xf numFmtId="0" fontId="13" fillId="5" borderId="54" xfId="0" applyFont="1" applyFill="1" applyBorder="1" applyAlignment="1">
      <alignment horizontal="left"/>
    </xf>
    <xf numFmtId="0" fontId="26" fillId="11" borderId="76" xfId="0" applyFont="1" applyFill="1" applyBorder="1" applyAlignment="1">
      <alignment horizontal="center" vertical="center"/>
    </xf>
    <xf numFmtId="4" fontId="26" fillId="11" borderId="61" xfId="0" applyNumberFormat="1" applyFont="1" applyFill="1" applyBorder="1" applyAlignment="1">
      <alignment horizontal="center" vertical="center"/>
    </xf>
    <xf numFmtId="4" fontId="26" fillId="11" borderId="54" xfId="0" applyNumberFormat="1" applyFont="1" applyFill="1" applyBorder="1" applyAlignment="1">
      <alignment horizontal="center" vertical="center"/>
    </xf>
    <xf numFmtId="4" fontId="26" fillId="11" borderId="76" xfId="0" applyNumberFormat="1" applyFont="1" applyFill="1" applyBorder="1" applyAlignment="1">
      <alignment horizontal="center" vertical="center"/>
    </xf>
    <xf numFmtId="4" fontId="26" fillId="11" borderId="53" xfId="0" applyNumberFormat="1" applyFont="1" applyFill="1" applyBorder="1" applyAlignment="1">
      <alignment horizontal="center" vertical="center"/>
    </xf>
    <xf numFmtId="4" fontId="26" fillId="11" borderId="62" xfId="0" applyNumberFormat="1" applyFont="1" applyFill="1" applyBorder="1" applyAlignment="1">
      <alignment horizontal="center" vertical="center"/>
    </xf>
    <xf numFmtId="4" fontId="26" fillId="13" borderId="50" xfId="0" applyNumberFormat="1" applyFont="1" applyFill="1" applyBorder="1" applyAlignment="1">
      <alignment horizontal="center" vertical="center"/>
    </xf>
    <xf numFmtId="0" fontId="26" fillId="11" borderId="65" xfId="0" applyFont="1" applyFill="1" applyBorder="1" applyAlignment="1">
      <alignment horizontal="center" vertical="center"/>
    </xf>
    <xf numFmtId="0" fontId="26" fillId="11" borderId="70" xfId="0" applyFont="1" applyFill="1" applyBorder="1" applyAlignment="1">
      <alignment horizontal="center" vertical="center"/>
    </xf>
    <xf numFmtId="2" fontId="26" fillId="13" borderId="0" xfId="0" applyNumberFormat="1" applyFont="1" applyFill="1" applyBorder="1" applyAlignment="1">
      <alignment horizontal="center" vertical="center"/>
    </xf>
    <xf numFmtId="0" fontId="26" fillId="11" borderId="74" xfId="0" applyFont="1" applyFill="1" applyBorder="1" applyAlignment="1">
      <alignment horizontal="center" vertical="center"/>
    </xf>
    <xf numFmtId="0" fontId="26" fillId="11" borderId="72" xfId="0" applyFont="1" applyFill="1" applyBorder="1" applyAlignment="1">
      <alignment horizontal="center" vertical="center"/>
    </xf>
    <xf numFmtId="2" fontId="26" fillId="13" borderId="46" xfId="0" applyNumberFormat="1" applyFont="1" applyFill="1" applyBorder="1" applyAlignment="1">
      <alignment horizontal="center" vertical="center"/>
    </xf>
    <xf numFmtId="0" fontId="27" fillId="14" borderId="0" xfId="0" applyFont="1" applyFill="1" applyBorder="1" applyAlignment="1">
      <alignment horizontal="center" vertical="center"/>
    </xf>
    <xf numFmtId="0" fontId="17" fillId="6" borderId="1" xfId="0" applyFont="1" applyFill="1" applyBorder="1" applyAlignment="1">
      <alignment horizontal="center" vertical="center"/>
    </xf>
    <xf numFmtId="0" fontId="10" fillId="5" borderId="55" xfId="0" applyFont="1" applyFill="1" applyBorder="1"/>
    <xf numFmtId="0" fontId="10" fillId="5" borderId="0" xfId="0" applyFont="1" applyFill="1" applyBorder="1"/>
    <xf numFmtId="0" fontId="10" fillId="5" borderId="56" xfId="0" applyFont="1" applyFill="1" applyBorder="1"/>
    <xf numFmtId="0" fontId="28" fillId="13" borderId="74" xfId="0" applyFont="1" applyFill="1" applyBorder="1"/>
    <xf numFmtId="0" fontId="28" fillId="13" borderId="46" xfId="0" applyFont="1" applyFill="1" applyBorder="1" applyAlignment="1">
      <alignment horizontal="center"/>
    </xf>
    <xf numFmtId="0" fontId="13" fillId="15" borderId="46" xfId="0" applyFont="1" applyFill="1" applyBorder="1" applyAlignment="1">
      <alignment horizontal="left"/>
    </xf>
    <xf numFmtId="0" fontId="6" fillId="0" borderId="73" xfId="0" applyFont="1" applyBorder="1"/>
    <xf numFmtId="0" fontId="17" fillId="6" borderId="74" xfId="0" applyFont="1" applyFill="1" applyBorder="1" applyAlignment="1">
      <alignment horizontal="center"/>
    </xf>
    <xf numFmtId="0" fontId="13" fillId="13" borderId="46" xfId="0" applyFont="1" applyFill="1" applyBorder="1" applyAlignment="1">
      <alignment horizontal="left"/>
    </xf>
    <xf numFmtId="0" fontId="10" fillId="13" borderId="73" xfId="0" applyFont="1" applyFill="1" applyBorder="1" applyAlignment="1">
      <alignment horizontal="left"/>
    </xf>
    <xf numFmtId="0" fontId="28" fillId="13" borderId="71" xfId="0" applyFont="1" applyFill="1" applyBorder="1" applyAlignment="1">
      <alignment horizontal="center" vertical="center"/>
    </xf>
    <xf numFmtId="0" fontId="13" fillId="13" borderId="71" xfId="0" applyFont="1" applyFill="1" applyBorder="1" applyAlignment="1">
      <alignment vertical="center"/>
    </xf>
    <xf numFmtId="0" fontId="10" fillId="5" borderId="0" xfId="0" applyFont="1" applyFill="1" applyBorder="1" applyAlignment="1">
      <alignment horizontal="left"/>
    </xf>
    <xf numFmtId="0" fontId="28" fillId="13" borderId="74" xfId="0" applyFont="1" applyFill="1" applyBorder="1" applyAlignment="1">
      <alignment vertical="center"/>
    </xf>
    <xf numFmtId="0" fontId="28" fillId="13" borderId="46" xfId="0" applyFont="1" applyFill="1" applyBorder="1" applyAlignment="1">
      <alignment horizontal="center" vertical="center"/>
    </xf>
    <xf numFmtId="0" fontId="28" fillId="13" borderId="68" xfId="0" applyFont="1" applyFill="1" applyBorder="1" applyAlignment="1">
      <alignment vertical="center"/>
    </xf>
    <xf numFmtId="0" fontId="28" fillId="13" borderId="77" xfId="0" applyFont="1" applyFill="1" applyBorder="1" applyAlignment="1">
      <alignment horizontal="center" vertical="center"/>
    </xf>
    <xf numFmtId="0" fontId="13" fillId="13" borderId="0" xfId="0" applyFont="1" applyFill="1" applyBorder="1" applyAlignment="1">
      <alignment horizontal="left" vertical="center"/>
    </xf>
    <xf numFmtId="0" fontId="6" fillId="0" borderId="78" xfId="0" applyFont="1" applyBorder="1"/>
    <xf numFmtId="0" fontId="10" fillId="5" borderId="35" xfId="0" applyFont="1" applyFill="1" applyBorder="1"/>
    <xf numFmtId="0" fontId="10" fillId="5" borderId="32" xfId="0" applyFont="1" applyFill="1" applyBorder="1"/>
    <xf numFmtId="0" fontId="10" fillId="5" borderId="36" xfId="0" applyFont="1" applyFill="1" applyBorder="1"/>
    <xf numFmtId="0" fontId="28" fillId="13" borderId="68" xfId="0" applyFont="1" applyFill="1" applyBorder="1"/>
    <xf numFmtId="0" fontId="28" fillId="13" borderId="77" xfId="0" applyFont="1" applyFill="1" applyBorder="1" applyAlignment="1">
      <alignment horizontal="center"/>
    </xf>
    <xf numFmtId="0" fontId="28" fillId="13" borderId="79" xfId="0" applyFont="1" applyFill="1" applyBorder="1"/>
    <xf numFmtId="0" fontId="28" fillId="13" borderId="39" xfId="0" applyFont="1" applyFill="1" applyBorder="1" applyAlignment="1">
      <alignment horizontal="center"/>
    </xf>
    <xf numFmtId="0" fontId="10" fillId="16" borderId="55" xfId="0" applyFont="1" applyFill="1" applyBorder="1"/>
    <xf numFmtId="0" fontId="29" fillId="16" borderId="0" xfId="0" applyFont="1" applyFill="1" applyBorder="1" applyAlignment="1">
      <alignment horizontal="left" vertical="center" wrapText="1"/>
    </xf>
    <xf numFmtId="0" fontId="10" fillId="16" borderId="56" xfId="0" applyFont="1" applyFill="1" applyBorder="1"/>
    <xf numFmtId="0" fontId="10" fillId="16" borderId="35" xfId="0" applyFont="1" applyFill="1" applyBorder="1"/>
    <xf numFmtId="0" fontId="10" fillId="16" borderId="32" xfId="0" applyFont="1" applyFill="1" applyBorder="1"/>
    <xf numFmtId="0" fontId="10" fillId="16" borderId="36" xfId="0" applyFont="1" applyFill="1" applyBorder="1"/>
    <xf numFmtId="0" fontId="9" fillId="17" borderId="1" xfId="0" applyFont="1" applyFill="1" applyBorder="1" applyAlignment="1">
      <alignment horizontal="center" vertical="center"/>
    </xf>
    <xf numFmtId="0" fontId="10" fillId="5" borderId="80" xfId="0" applyFont="1" applyFill="1" applyBorder="1"/>
    <xf numFmtId="0" fontId="10" fillId="5" borderId="50" xfId="0" applyFont="1" applyFill="1" applyBorder="1"/>
    <xf numFmtId="0" fontId="30" fillId="0" borderId="0" xfId="0" applyFont="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1219200</xdr:colOff>
      <xdr:row>0</xdr:row>
      <xdr:rowOff>0</xdr:rowOff>
    </xdr:from>
    <xdr:ext cx="1885950" cy="962025"/>
    <xdr:pic>
      <xdr:nvPicPr>
        <xdr:cNvPr id="2" name="image2.png" title="Image"/>
        <xdr:cNvPicPr preferRelativeResize="0"/>
      </xdr:nvPicPr>
      <xdr:blipFill>
        <a:blip r:embed="rId1" cstate="print"/>
        <a:stretch>
          <a:fillRect/>
        </a:stretch>
      </xdr:blipFill>
      <xdr:spPr>
        <a:xfrm>
          <a:off x="10530840"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1.png" title="Image"/>
        <xdr:cNvPicPr preferRelativeResize="0"/>
      </xdr:nvPicPr>
      <xdr:blipFill>
        <a:blip r:embed="rId2" cstate="print"/>
        <a:stretch>
          <a:fillRect/>
        </a:stretch>
      </xdr:blipFill>
      <xdr:spPr>
        <a:xfrm>
          <a:off x="152400" y="0"/>
          <a:ext cx="1000125" cy="96202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247650</xdr:colOff>
      <xdr:row>0</xdr:row>
      <xdr:rowOff>38100</xdr:rowOff>
    </xdr:from>
    <xdr:ext cx="752475" cy="752475"/>
    <xdr:pic>
      <xdr:nvPicPr>
        <xdr:cNvPr id="2" name="image1.png" title="Image"/>
        <xdr:cNvPicPr preferRelativeResize="0"/>
      </xdr:nvPicPr>
      <xdr:blipFill>
        <a:blip r:embed="rId1" cstate="print"/>
        <a:stretch>
          <a:fillRect/>
        </a:stretch>
      </xdr:blipFill>
      <xdr:spPr>
        <a:xfrm>
          <a:off x="247650" y="38100"/>
          <a:ext cx="752475" cy="752475"/>
        </a:xfrm>
        <a:prstGeom prst="rect">
          <a:avLst/>
        </a:prstGeom>
        <a:noFill/>
      </xdr:spPr>
    </xdr:pic>
    <xdr:clientData fLocksWithSheet="0"/>
  </xdr:oneCellAnchor>
  <xdr:oneCellAnchor>
    <xdr:from>
      <xdr:col>9</xdr:col>
      <xdr:colOff>1133475</xdr:colOff>
      <xdr:row>0</xdr:row>
      <xdr:rowOff>0</xdr:rowOff>
    </xdr:from>
    <xdr:ext cx="1314450" cy="657225"/>
    <xdr:pic>
      <xdr:nvPicPr>
        <xdr:cNvPr id="3" name="image2.png" title="Image"/>
        <xdr:cNvPicPr preferRelativeResize="0"/>
      </xdr:nvPicPr>
      <xdr:blipFill>
        <a:blip r:embed="rId2" cstate="print"/>
        <a:stretch>
          <a:fillRect/>
        </a:stretch>
      </xdr:blipFill>
      <xdr:spPr>
        <a:xfrm>
          <a:off x="8395335" y="0"/>
          <a:ext cx="1314450" cy="6572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outlinePr summaryBelow="0" summaryRight="0"/>
  </sheetPr>
  <dimension ref="A1:Q1000"/>
  <sheetViews>
    <sheetView showGridLines="0" tabSelected="1" workbookViewId="0">
      <pane ySplit="5" topLeftCell="A12" activePane="bottomLeft" state="frozen"/>
      <selection/>
      <selection pane="bottomLeft" activeCell="B36" sqref="B36:G38"/>
    </sheetView>
  </sheetViews>
  <sheetFormatPr defaultColWidth="12.6285714285714" defaultRowHeight="15" customHeight="1"/>
  <cols>
    <col min="1" max="2" width="3.87619047619048" customWidth="1"/>
    <col min="3" max="3" width="19.6285714285714" customWidth="1"/>
    <col min="4" max="4" width="2.13333333333333" customWidth="1"/>
    <col min="5" max="5" width="18.8761904761905" customWidth="1"/>
    <col min="6" max="6" width="30.3809523809524" customWidth="1"/>
    <col min="7" max="10" width="3.87619047619048" customWidth="1"/>
    <col min="11" max="11" width="37.6285714285714" customWidth="1"/>
    <col min="12" max="13" width="3.87619047619048" customWidth="1"/>
    <col min="14" max="14" width="37.6285714285714" customWidth="1"/>
    <col min="15" max="16" width="3.87619047619048" customWidth="1"/>
  </cols>
  <sheetData>
    <row r="1" ht="15.75" customHeight="1" spans="1:17">
      <c r="A1" s="202" t="s">
        <v>0</v>
      </c>
      <c r="B1" s="6"/>
      <c r="C1" s="6"/>
      <c r="D1" s="6"/>
      <c r="E1" s="6"/>
      <c r="F1" s="6"/>
      <c r="G1" s="6"/>
      <c r="H1" s="6"/>
      <c r="I1" s="6"/>
      <c r="J1" s="6"/>
      <c r="K1" s="6"/>
      <c r="L1" s="6"/>
      <c r="M1" s="6"/>
      <c r="N1" s="6"/>
      <c r="O1" s="6"/>
      <c r="P1" s="6"/>
      <c r="Q1" s="45"/>
    </row>
    <row r="2" ht="15.75" customHeight="1" spans="1:17">
      <c r="A2" s="6"/>
      <c r="P2" s="6"/>
      <c r="Q2" s="45"/>
    </row>
    <row r="3" ht="15.75" customHeight="1" spans="1:17">
      <c r="A3" s="6"/>
      <c r="P3" s="6"/>
      <c r="Q3" s="45"/>
    </row>
    <row r="4" ht="15.75" customHeight="1" spans="1:17">
      <c r="A4" s="6"/>
      <c r="P4" s="6"/>
      <c r="Q4" s="45"/>
    </row>
    <row r="5" ht="15.75" customHeight="1" spans="1:17">
      <c r="A5" s="6"/>
      <c r="B5" s="6"/>
      <c r="C5" s="6"/>
      <c r="D5" s="6"/>
      <c r="E5" s="6"/>
      <c r="F5" s="6"/>
      <c r="G5" s="6"/>
      <c r="H5" s="6"/>
      <c r="I5" s="6"/>
      <c r="J5" s="6"/>
      <c r="K5" s="6"/>
      <c r="L5" s="6"/>
      <c r="M5" s="6"/>
      <c r="N5" s="6"/>
      <c r="O5" s="6"/>
      <c r="P5" s="6"/>
      <c r="Q5" s="45"/>
    </row>
    <row r="6" ht="15.75" customHeight="1" spans="1:17">
      <c r="A6" s="106"/>
      <c r="B6" s="106"/>
      <c r="C6" s="106"/>
      <c r="D6" s="106"/>
      <c r="E6" s="106"/>
      <c r="F6" s="106"/>
      <c r="G6" s="106"/>
      <c r="H6" s="106"/>
      <c r="I6" s="106"/>
      <c r="J6" s="106"/>
      <c r="K6" s="106"/>
      <c r="L6" s="106"/>
      <c r="M6" s="106"/>
      <c r="N6" s="106"/>
      <c r="O6" s="106"/>
      <c r="P6" s="106"/>
      <c r="Q6" s="45"/>
    </row>
    <row r="7" ht="15.75" customHeight="1" spans="1:17">
      <c r="A7" s="106"/>
      <c r="B7" s="203" t="s">
        <v>1</v>
      </c>
      <c r="C7" s="9"/>
      <c r="D7" s="9"/>
      <c r="E7" s="9"/>
      <c r="F7" s="9"/>
      <c r="G7" s="10"/>
      <c r="H7" s="106"/>
      <c r="I7" s="203" t="s">
        <v>2</v>
      </c>
      <c r="J7" s="9"/>
      <c r="K7" s="9"/>
      <c r="L7" s="9"/>
      <c r="M7" s="9"/>
      <c r="N7" s="9"/>
      <c r="O7" s="10"/>
      <c r="P7" s="106"/>
      <c r="Q7" s="45"/>
    </row>
    <row r="8" ht="15.75" customHeight="1" spans="1:17">
      <c r="A8" s="106"/>
      <c r="B8" s="116"/>
      <c r="C8" s="6"/>
      <c r="D8" s="6"/>
      <c r="E8" s="6"/>
      <c r="F8" s="6"/>
      <c r="G8" s="111"/>
      <c r="H8" s="106"/>
      <c r="I8" s="116"/>
      <c r="J8" s="6"/>
      <c r="K8" s="6"/>
      <c r="L8" s="6"/>
      <c r="M8" s="6"/>
      <c r="N8" s="6"/>
      <c r="O8" s="111"/>
      <c r="P8" s="106"/>
      <c r="Q8" s="45"/>
    </row>
    <row r="9" ht="15.75" customHeight="1" spans="1:17">
      <c r="A9" s="45"/>
      <c r="B9" s="204"/>
      <c r="C9" s="205"/>
      <c r="D9" s="205"/>
      <c r="E9" s="205"/>
      <c r="F9" s="205"/>
      <c r="G9" s="206"/>
      <c r="H9" s="45"/>
      <c r="I9" s="204"/>
      <c r="J9" s="205"/>
      <c r="K9" s="205"/>
      <c r="L9" s="205"/>
      <c r="M9" s="205"/>
      <c r="N9" s="205"/>
      <c r="O9" s="206"/>
      <c r="P9" s="45"/>
      <c r="Q9" s="45"/>
    </row>
    <row r="10" ht="15.75" customHeight="1" spans="1:17">
      <c r="A10" s="45"/>
      <c r="B10" s="204"/>
      <c r="C10" s="207" t="s">
        <v>3</v>
      </c>
      <c r="D10" s="208" t="s">
        <v>4</v>
      </c>
      <c r="E10" s="209"/>
      <c r="F10" s="210"/>
      <c r="G10" s="206"/>
      <c r="H10" s="45"/>
      <c r="I10" s="204"/>
      <c r="J10" s="211" t="s">
        <v>5</v>
      </c>
      <c r="K10" s="210"/>
      <c r="L10" s="205"/>
      <c r="M10" s="211" t="s">
        <v>6</v>
      </c>
      <c r="N10" s="210"/>
      <c r="O10" s="206"/>
      <c r="P10" s="45"/>
      <c r="Q10" s="45"/>
    </row>
    <row r="11" ht="15.75" customHeight="1" spans="1:17">
      <c r="A11" s="45"/>
      <c r="B11" s="204"/>
      <c r="C11" s="207" t="s">
        <v>7</v>
      </c>
      <c r="D11" s="208" t="s">
        <v>4</v>
      </c>
      <c r="E11" s="212"/>
      <c r="F11" s="213"/>
      <c r="G11" s="206"/>
      <c r="H11" s="45"/>
      <c r="I11" s="204"/>
      <c r="J11" s="214">
        <v>1</v>
      </c>
      <c r="K11" s="215"/>
      <c r="L11" s="205"/>
      <c r="M11" s="214">
        <v>1</v>
      </c>
      <c r="N11" s="215"/>
      <c r="O11" s="206"/>
      <c r="P11" s="45"/>
      <c r="Q11" s="45"/>
    </row>
    <row r="12" ht="15.75" customHeight="1" spans="1:17">
      <c r="A12" s="45"/>
      <c r="B12" s="204"/>
      <c r="C12" s="205"/>
      <c r="D12" s="205"/>
      <c r="E12" s="216"/>
      <c r="F12" s="216"/>
      <c r="G12" s="206"/>
      <c r="H12" s="45"/>
      <c r="I12" s="204"/>
      <c r="J12" s="214">
        <v>2</v>
      </c>
      <c r="K12" s="215"/>
      <c r="L12" s="205"/>
      <c r="M12" s="214">
        <v>2</v>
      </c>
      <c r="N12" s="215"/>
      <c r="O12" s="206"/>
      <c r="P12" s="45"/>
      <c r="Q12" s="45"/>
    </row>
    <row r="13" ht="15.75" customHeight="1" spans="1:17">
      <c r="A13" s="45"/>
      <c r="B13" s="204"/>
      <c r="C13" s="217" t="s">
        <v>8</v>
      </c>
      <c r="D13" s="218" t="s">
        <v>4</v>
      </c>
      <c r="E13" s="212"/>
      <c r="F13" s="210"/>
      <c r="G13" s="206"/>
      <c r="H13" s="45"/>
      <c r="I13" s="204"/>
      <c r="J13" s="214">
        <v>3</v>
      </c>
      <c r="K13" s="215"/>
      <c r="L13" s="205"/>
      <c r="M13" s="214">
        <v>3</v>
      </c>
      <c r="N13" s="215"/>
      <c r="O13" s="206"/>
      <c r="P13" s="45"/>
      <c r="Q13" s="45"/>
    </row>
    <row r="14" ht="15.75" customHeight="1" spans="1:17">
      <c r="A14" s="45"/>
      <c r="B14" s="204"/>
      <c r="C14" s="219" t="s">
        <v>9</v>
      </c>
      <c r="D14" s="220" t="s">
        <v>4</v>
      </c>
      <c r="E14" s="221" t="s">
        <v>10</v>
      </c>
      <c r="F14" s="222"/>
      <c r="G14" s="206"/>
      <c r="H14" s="45"/>
      <c r="I14" s="204"/>
      <c r="J14" s="214">
        <v>4</v>
      </c>
      <c r="K14" s="215"/>
      <c r="L14" s="205"/>
      <c r="M14" s="214">
        <v>4</v>
      </c>
      <c r="N14" s="215"/>
      <c r="O14" s="206"/>
      <c r="P14" s="45"/>
      <c r="Q14" s="45"/>
    </row>
    <row r="15" ht="15.75" customHeight="1" spans="1:17">
      <c r="A15" s="45"/>
      <c r="B15" s="204"/>
      <c r="C15" s="217" t="s">
        <v>11</v>
      </c>
      <c r="D15" s="218" t="s">
        <v>4</v>
      </c>
      <c r="E15" s="209"/>
      <c r="F15" s="210"/>
      <c r="G15" s="206"/>
      <c r="H15" s="45"/>
      <c r="I15" s="204"/>
      <c r="J15" s="214">
        <v>5</v>
      </c>
      <c r="K15" s="215"/>
      <c r="L15" s="205"/>
      <c r="M15" s="214">
        <v>5</v>
      </c>
      <c r="N15" s="215"/>
      <c r="O15" s="206"/>
      <c r="P15" s="45"/>
      <c r="Q15" s="45"/>
    </row>
    <row r="16" ht="15.75" customHeight="1" spans="1:17">
      <c r="A16" s="45"/>
      <c r="B16" s="204"/>
      <c r="C16" s="217" t="s">
        <v>12</v>
      </c>
      <c r="D16" s="218" t="s">
        <v>4</v>
      </c>
      <c r="E16" s="212"/>
      <c r="F16" s="210"/>
      <c r="G16" s="206"/>
      <c r="H16" s="45"/>
      <c r="I16" s="204"/>
      <c r="J16" s="214">
        <v>6</v>
      </c>
      <c r="K16" s="215"/>
      <c r="L16" s="205"/>
      <c r="M16" s="214">
        <v>6</v>
      </c>
      <c r="N16" s="215"/>
      <c r="O16" s="206"/>
      <c r="P16" s="45"/>
      <c r="Q16" s="45"/>
    </row>
    <row r="17" ht="15.75" customHeight="1" spans="1:17">
      <c r="A17" s="45"/>
      <c r="B17" s="223"/>
      <c r="C17" s="224"/>
      <c r="D17" s="224"/>
      <c r="E17" s="224"/>
      <c r="F17" s="224"/>
      <c r="G17" s="225"/>
      <c r="H17" s="45"/>
      <c r="I17" s="204"/>
      <c r="J17" s="214">
        <v>7</v>
      </c>
      <c r="K17" s="215"/>
      <c r="L17" s="205"/>
      <c r="M17" s="214">
        <v>7</v>
      </c>
      <c r="N17" s="215"/>
      <c r="O17" s="206"/>
      <c r="P17" s="45"/>
      <c r="Q17" s="45"/>
    </row>
    <row r="18" ht="15.75" customHeight="1" spans="1:17">
      <c r="A18" s="45"/>
      <c r="B18" s="45"/>
      <c r="C18" s="45"/>
      <c r="D18" s="45"/>
      <c r="E18" s="45"/>
      <c r="F18" s="45"/>
      <c r="G18" s="45"/>
      <c r="H18" s="45"/>
      <c r="I18" s="204"/>
      <c r="J18" s="214">
        <v>8</v>
      </c>
      <c r="K18" s="215"/>
      <c r="L18" s="205"/>
      <c r="M18" s="214">
        <v>8</v>
      </c>
      <c r="N18" s="215"/>
      <c r="O18" s="206"/>
      <c r="P18" s="45"/>
      <c r="Q18" s="45"/>
    </row>
    <row r="19" ht="15.75" customHeight="1" spans="1:17">
      <c r="A19" s="45"/>
      <c r="B19" s="45"/>
      <c r="C19" s="45"/>
      <c r="D19" s="45"/>
      <c r="E19" s="45"/>
      <c r="F19" s="45"/>
      <c r="G19" s="45"/>
      <c r="H19" s="45"/>
      <c r="I19" s="204"/>
      <c r="J19" s="214">
        <v>9</v>
      </c>
      <c r="K19" s="215"/>
      <c r="L19" s="205"/>
      <c r="M19" s="214">
        <v>9</v>
      </c>
      <c r="N19" s="215"/>
      <c r="O19" s="206"/>
      <c r="P19" s="45"/>
      <c r="Q19" s="45"/>
    </row>
    <row r="20" ht="15.75" customHeight="1" spans="1:17">
      <c r="A20" s="45"/>
      <c r="B20" s="203" t="s">
        <v>13</v>
      </c>
      <c r="C20" s="9"/>
      <c r="D20" s="9"/>
      <c r="E20" s="9"/>
      <c r="F20" s="9"/>
      <c r="G20" s="10"/>
      <c r="H20" s="45"/>
      <c r="I20" s="204"/>
      <c r="J20" s="214">
        <v>10</v>
      </c>
      <c r="K20" s="215"/>
      <c r="L20" s="205"/>
      <c r="M20" s="214">
        <v>10</v>
      </c>
      <c r="N20" s="215"/>
      <c r="O20" s="206"/>
      <c r="P20" s="45"/>
      <c r="Q20" s="45"/>
    </row>
    <row r="21" ht="15.75" customHeight="1" spans="1:17">
      <c r="A21" s="45"/>
      <c r="B21" s="116"/>
      <c r="C21" s="6"/>
      <c r="D21" s="6"/>
      <c r="E21" s="6"/>
      <c r="F21" s="6"/>
      <c r="G21" s="111"/>
      <c r="H21" s="45"/>
      <c r="I21" s="204"/>
      <c r="J21" s="214">
        <v>11</v>
      </c>
      <c r="K21" s="215"/>
      <c r="L21" s="205"/>
      <c r="M21" s="214">
        <v>11</v>
      </c>
      <c r="N21" s="215"/>
      <c r="O21" s="206"/>
      <c r="P21" s="45"/>
      <c r="Q21" s="45"/>
    </row>
    <row r="22" ht="15.75" customHeight="1" spans="1:17">
      <c r="A22" s="45"/>
      <c r="B22" s="204"/>
      <c r="C22" s="205"/>
      <c r="D22" s="205"/>
      <c r="E22" s="205"/>
      <c r="F22" s="205"/>
      <c r="G22" s="206"/>
      <c r="H22" s="45"/>
      <c r="I22" s="204"/>
      <c r="J22" s="214">
        <v>12</v>
      </c>
      <c r="K22" s="215"/>
      <c r="L22" s="205"/>
      <c r="M22" s="214">
        <v>12</v>
      </c>
      <c r="N22" s="215"/>
      <c r="O22" s="206"/>
      <c r="P22" s="45"/>
      <c r="Q22" s="45"/>
    </row>
    <row r="23" ht="15.75" customHeight="1" spans="1:17">
      <c r="A23" s="45"/>
      <c r="B23" s="204"/>
      <c r="C23" s="226" t="s">
        <v>14</v>
      </c>
      <c r="D23" s="227" t="s">
        <v>4</v>
      </c>
      <c r="E23" s="212"/>
      <c r="F23" s="210"/>
      <c r="G23" s="206"/>
      <c r="H23" s="45"/>
      <c r="I23" s="204"/>
      <c r="J23" s="214">
        <v>13</v>
      </c>
      <c r="K23" s="215"/>
      <c r="L23" s="205"/>
      <c r="M23" s="214">
        <v>13</v>
      </c>
      <c r="N23" s="215"/>
      <c r="O23" s="206"/>
      <c r="P23" s="45"/>
      <c r="Q23" s="45"/>
    </row>
    <row r="24" ht="15.75" customHeight="1" spans="1:17">
      <c r="A24" s="45"/>
      <c r="B24" s="204"/>
      <c r="C24" s="226" t="s">
        <v>15</v>
      </c>
      <c r="D24" s="227" t="s">
        <v>4</v>
      </c>
      <c r="E24" s="209" t="s">
        <v>16</v>
      </c>
      <c r="F24" s="210"/>
      <c r="G24" s="206"/>
      <c r="H24" s="45"/>
      <c r="I24" s="204"/>
      <c r="J24" s="214">
        <v>14</v>
      </c>
      <c r="K24" s="215"/>
      <c r="L24" s="205"/>
      <c r="M24" s="214">
        <v>14</v>
      </c>
      <c r="N24" s="215"/>
      <c r="O24" s="206"/>
      <c r="P24" s="45"/>
      <c r="Q24" s="45"/>
    </row>
    <row r="25" ht="15.75" customHeight="1" spans="1:17">
      <c r="A25" s="45"/>
      <c r="B25" s="204"/>
      <c r="C25" s="207" t="s">
        <v>17</v>
      </c>
      <c r="D25" s="208" t="s">
        <v>4</v>
      </c>
      <c r="E25" s="212"/>
      <c r="F25" s="210"/>
      <c r="G25" s="206"/>
      <c r="H25" s="45"/>
      <c r="I25" s="204"/>
      <c r="J25" s="214">
        <v>15</v>
      </c>
      <c r="K25" s="215"/>
      <c r="L25" s="205"/>
      <c r="M25" s="214">
        <v>15</v>
      </c>
      <c r="N25" s="215"/>
      <c r="O25" s="206"/>
      <c r="P25" s="45"/>
      <c r="Q25" s="45"/>
    </row>
    <row r="26" ht="15.75" customHeight="1" spans="1:17">
      <c r="A26" s="45"/>
      <c r="B26" s="204"/>
      <c r="C26" s="228" t="s">
        <v>18</v>
      </c>
      <c r="D26" s="229" t="s">
        <v>4</v>
      </c>
      <c r="E26" s="212"/>
      <c r="F26" s="210"/>
      <c r="G26" s="206"/>
      <c r="H26" s="45"/>
      <c r="I26" s="204"/>
      <c r="J26" s="214">
        <v>16</v>
      </c>
      <c r="K26" s="215"/>
      <c r="L26" s="205"/>
      <c r="M26" s="214">
        <v>16</v>
      </c>
      <c r="N26" s="215"/>
      <c r="O26" s="206"/>
      <c r="P26" s="45"/>
      <c r="Q26" s="45"/>
    </row>
    <row r="27" ht="15.75" customHeight="1" spans="1:17">
      <c r="A27" s="45"/>
      <c r="B27" s="204"/>
      <c r="C27" s="205"/>
      <c r="D27" s="205"/>
      <c r="E27" s="205"/>
      <c r="F27" s="205"/>
      <c r="G27" s="206"/>
      <c r="H27" s="45"/>
      <c r="I27" s="204"/>
      <c r="J27" s="214">
        <v>17</v>
      </c>
      <c r="K27" s="215"/>
      <c r="L27" s="205"/>
      <c r="M27" s="214">
        <v>17</v>
      </c>
      <c r="N27" s="215"/>
      <c r="O27" s="206"/>
      <c r="P27" s="45"/>
      <c r="Q27" s="45"/>
    </row>
    <row r="28" ht="13.5" customHeight="1" spans="1:17">
      <c r="A28" s="45"/>
      <c r="B28" s="230"/>
      <c r="C28" s="231" t="s">
        <v>19</v>
      </c>
      <c r="D28" s="6"/>
      <c r="E28" s="6"/>
      <c r="F28" s="6"/>
      <c r="G28" s="232"/>
      <c r="H28" s="45"/>
      <c r="I28" s="204"/>
      <c r="J28" s="214">
        <v>18</v>
      </c>
      <c r="K28" s="215"/>
      <c r="L28" s="205"/>
      <c r="M28" s="214">
        <v>18</v>
      </c>
      <c r="N28" s="215"/>
      <c r="O28" s="206"/>
      <c r="P28" s="45"/>
      <c r="Q28" s="45"/>
    </row>
    <row r="29" ht="15.75" customHeight="1" spans="1:17">
      <c r="A29" s="45"/>
      <c r="B29" s="230"/>
      <c r="C29" s="6"/>
      <c r="F29" s="6"/>
      <c r="G29" s="232"/>
      <c r="H29" s="45"/>
      <c r="I29" s="204"/>
      <c r="J29" s="214">
        <v>19</v>
      </c>
      <c r="K29" s="215"/>
      <c r="L29" s="205"/>
      <c r="M29" s="214">
        <v>19</v>
      </c>
      <c r="N29" s="215"/>
      <c r="O29" s="206"/>
      <c r="P29" s="45"/>
      <c r="Q29" s="45"/>
    </row>
    <row r="30" ht="15.75" customHeight="1" spans="1:17">
      <c r="A30" s="45"/>
      <c r="B30" s="230"/>
      <c r="C30" s="6"/>
      <c r="F30" s="6"/>
      <c r="G30" s="232"/>
      <c r="H30" s="45"/>
      <c r="I30" s="204"/>
      <c r="J30" s="214">
        <v>20</v>
      </c>
      <c r="K30" s="215"/>
      <c r="L30" s="205"/>
      <c r="M30" s="214">
        <v>20</v>
      </c>
      <c r="N30" s="215"/>
      <c r="O30" s="206"/>
      <c r="P30" s="45"/>
      <c r="Q30" s="45"/>
    </row>
    <row r="31" ht="15.75" customHeight="1" spans="1:17">
      <c r="A31" s="45"/>
      <c r="B31" s="230"/>
      <c r="C31" s="6"/>
      <c r="D31" s="6"/>
      <c r="E31" s="6"/>
      <c r="F31" s="6"/>
      <c r="G31" s="232"/>
      <c r="H31" s="45"/>
      <c r="I31" s="204"/>
      <c r="J31" s="214">
        <v>21</v>
      </c>
      <c r="K31" s="215"/>
      <c r="L31" s="205"/>
      <c r="M31" s="214">
        <v>21</v>
      </c>
      <c r="N31" s="215"/>
      <c r="O31" s="206"/>
      <c r="P31" s="45"/>
      <c r="Q31" s="45"/>
    </row>
    <row r="32" ht="15.75" customHeight="1" spans="1:17">
      <c r="A32" s="45"/>
      <c r="B32" s="233"/>
      <c r="C32" s="234"/>
      <c r="D32" s="234"/>
      <c r="E32" s="234"/>
      <c r="F32" s="234"/>
      <c r="G32" s="235"/>
      <c r="H32" s="45"/>
      <c r="I32" s="204"/>
      <c r="J32" s="214">
        <v>22</v>
      </c>
      <c r="K32" s="215"/>
      <c r="L32" s="205"/>
      <c r="M32" s="214">
        <v>22</v>
      </c>
      <c r="N32" s="215"/>
      <c r="O32" s="206"/>
      <c r="P32" s="45"/>
      <c r="Q32" s="45"/>
    </row>
    <row r="33" ht="15.75" customHeight="1" spans="1:17">
      <c r="A33" s="45"/>
      <c r="B33" s="45"/>
      <c r="C33" s="45"/>
      <c r="D33" s="45"/>
      <c r="E33" s="45"/>
      <c r="F33" s="45"/>
      <c r="G33" s="45"/>
      <c r="H33" s="45"/>
      <c r="I33" s="204"/>
      <c r="J33" s="214">
        <v>23</v>
      </c>
      <c r="K33" s="215"/>
      <c r="L33" s="205"/>
      <c r="M33" s="214">
        <v>23</v>
      </c>
      <c r="N33" s="215"/>
      <c r="O33" s="206"/>
      <c r="P33" s="45"/>
      <c r="Q33" s="45"/>
    </row>
    <row r="34" ht="15.75" customHeight="1" spans="1:17">
      <c r="A34" s="45"/>
      <c r="B34" s="45"/>
      <c r="C34" s="45"/>
      <c r="D34" s="45"/>
      <c r="E34" s="45"/>
      <c r="F34" s="45"/>
      <c r="G34" s="45"/>
      <c r="H34" s="45"/>
      <c r="I34" s="204"/>
      <c r="J34" s="214">
        <v>24</v>
      </c>
      <c r="K34" s="215"/>
      <c r="L34" s="205"/>
      <c r="M34" s="214">
        <v>24</v>
      </c>
      <c r="N34" s="215"/>
      <c r="O34" s="206"/>
      <c r="P34" s="45"/>
      <c r="Q34" s="45"/>
    </row>
    <row r="35" ht="15.75" customHeight="1" spans="1:17">
      <c r="A35" s="45"/>
      <c r="B35" s="45"/>
      <c r="C35" s="45"/>
      <c r="D35" s="45"/>
      <c r="E35" s="45"/>
      <c r="F35" s="45"/>
      <c r="G35" s="45"/>
      <c r="H35" s="45"/>
      <c r="I35" s="204"/>
      <c r="J35" s="214">
        <v>25</v>
      </c>
      <c r="K35" s="215"/>
      <c r="L35" s="205"/>
      <c r="M35" s="214">
        <v>25</v>
      </c>
      <c r="N35" s="215"/>
      <c r="O35" s="206"/>
      <c r="P35" s="45"/>
      <c r="Q35" s="45"/>
    </row>
    <row r="36" ht="15.75" customHeight="1" spans="1:17">
      <c r="A36" s="45"/>
      <c r="B36" s="236"/>
      <c r="C36" s="9"/>
      <c r="D36" s="9"/>
      <c r="E36" s="9"/>
      <c r="F36" s="9"/>
      <c r="G36" s="10"/>
      <c r="H36" s="45"/>
      <c r="I36" s="204"/>
      <c r="J36" s="214">
        <v>26</v>
      </c>
      <c r="K36" s="215"/>
      <c r="L36" s="205"/>
      <c r="M36" s="214">
        <v>26</v>
      </c>
      <c r="N36" s="215"/>
      <c r="O36" s="206"/>
      <c r="P36" s="45"/>
      <c r="Q36" s="45"/>
    </row>
    <row r="37" ht="15.75" customHeight="1" spans="1:17">
      <c r="A37" s="45"/>
      <c r="B37" s="116"/>
      <c r="G37" s="111"/>
      <c r="H37" s="45"/>
      <c r="I37" s="204"/>
      <c r="J37" s="214">
        <v>27</v>
      </c>
      <c r="K37" s="215"/>
      <c r="L37" s="205"/>
      <c r="M37" s="214">
        <v>27</v>
      </c>
      <c r="N37" s="215"/>
      <c r="O37" s="206"/>
      <c r="P37" s="45"/>
      <c r="Q37" s="45"/>
    </row>
    <row r="38" ht="15.75" customHeight="1" spans="1:17">
      <c r="A38" s="45"/>
      <c r="B38" s="64"/>
      <c r="C38" s="54"/>
      <c r="D38" s="54"/>
      <c r="E38" s="54"/>
      <c r="F38" s="54"/>
      <c r="G38" s="66"/>
      <c r="H38" s="45"/>
      <c r="I38" s="204"/>
      <c r="J38" s="214">
        <v>28</v>
      </c>
      <c r="K38" s="215"/>
      <c r="L38" s="205"/>
      <c r="M38" s="214">
        <v>28</v>
      </c>
      <c r="N38" s="215"/>
      <c r="O38" s="206"/>
      <c r="P38" s="45"/>
      <c r="Q38" s="45"/>
    </row>
    <row r="39" ht="15.75" customHeight="1" spans="1:17">
      <c r="A39" s="45"/>
      <c r="B39" s="45"/>
      <c r="C39" s="45"/>
      <c r="D39" s="45"/>
      <c r="E39" s="45"/>
      <c r="F39" s="45"/>
      <c r="G39" s="45"/>
      <c r="H39" s="45"/>
      <c r="I39" s="204"/>
      <c r="J39" s="214">
        <v>29</v>
      </c>
      <c r="K39" s="215"/>
      <c r="L39" s="205"/>
      <c r="M39" s="214">
        <v>29</v>
      </c>
      <c r="N39" s="215"/>
      <c r="O39" s="206"/>
      <c r="P39" s="45"/>
      <c r="Q39" s="45"/>
    </row>
    <row r="40" ht="15.75" customHeight="1" spans="1:17">
      <c r="A40" s="45"/>
      <c r="B40" s="45"/>
      <c r="C40" s="45"/>
      <c r="D40" s="45"/>
      <c r="E40" s="45"/>
      <c r="F40" s="45"/>
      <c r="G40" s="45"/>
      <c r="H40" s="45"/>
      <c r="I40" s="204"/>
      <c r="J40" s="214">
        <v>30</v>
      </c>
      <c r="K40" s="215"/>
      <c r="L40" s="205"/>
      <c r="M40" s="214">
        <v>30</v>
      </c>
      <c r="N40" s="215"/>
      <c r="O40" s="206"/>
      <c r="P40" s="45"/>
      <c r="Q40" s="45"/>
    </row>
    <row r="41" ht="15.75" customHeight="1" spans="1:17">
      <c r="A41" s="45"/>
      <c r="B41" s="45"/>
      <c r="C41" s="45"/>
      <c r="D41" s="45"/>
      <c r="E41" s="45"/>
      <c r="F41" s="45"/>
      <c r="G41" s="45"/>
      <c r="H41" s="45"/>
      <c r="I41" s="204"/>
      <c r="J41" s="214">
        <v>31</v>
      </c>
      <c r="K41" s="215"/>
      <c r="L41" s="205"/>
      <c r="M41" s="214">
        <v>31</v>
      </c>
      <c r="N41" s="215"/>
      <c r="O41" s="206"/>
      <c r="P41" s="45"/>
      <c r="Q41" s="45"/>
    </row>
    <row r="42" ht="15.75" customHeight="1" spans="1:17">
      <c r="A42" s="45"/>
      <c r="B42" s="45"/>
      <c r="C42" s="45"/>
      <c r="D42" s="45"/>
      <c r="E42" s="45"/>
      <c r="F42" s="45"/>
      <c r="G42" s="45"/>
      <c r="H42" s="45"/>
      <c r="I42" s="204"/>
      <c r="J42" s="214">
        <v>32</v>
      </c>
      <c r="K42" s="215"/>
      <c r="L42" s="205"/>
      <c r="M42" s="214">
        <v>32</v>
      </c>
      <c r="N42" s="215"/>
      <c r="O42" s="206"/>
      <c r="P42" s="45"/>
      <c r="Q42" s="45"/>
    </row>
    <row r="43" ht="15.75" customHeight="1" spans="1:17">
      <c r="A43" s="45"/>
      <c r="B43" s="45"/>
      <c r="C43" s="45"/>
      <c r="D43" s="45"/>
      <c r="E43" s="45"/>
      <c r="F43" s="45"/>
      <c r="G43" s="45"/>
      <c r="H43" s="45"/>
      <c r="I43" s="204"/>
      <c r="J43" s="214">
        <v>33</v>
      </c>
      <c r="K43" s="215"/>
      <c r="L43" s="205"/>
      <c r="M43" s="214">
        <v>33</v>
      </c>
      <c r="N43" s="215"/>
      <c r="O43" s="206"/>
      <c r="P43" s="45"/>
      <c r="Q43" s="45"/>
    </row>
    <row r="44" ht="15.75" customHeight="1" spans="1:17">
      <c r="A44" s="45"/>
      <c r="B44" s="45"/>
      <c r="C44" s="45"/>
      <c r="D44" s="45"/>
      <c r="E44" s="45"/>
      <c r="F44" s="45"/>
      <c r="G44" s="45"/>
      <c r="H44" s="45"/>
      <c r="I44" s="204"/>
      <c r="J44" s="214">
        <v>34</v>
      </c>
      <c r="K44" s="215"/>
      <c r="L44" s="205"/>
      <c r="M44" s="214">
        <v>34</v>
      </c>
      <c r="N44" s="215"/>
      <c r="O44" s="206"/>
      <c r="P44" s="45"/>
      <c r="Q44" s="45"/>
    </row>
    <row r="45" ht="15.75" customHeight="1" spans="1:17">
      <c r="A45" s="45"/>
      <c r="B45" s="45"/>
      <c r="C45" s="45"/>
      <c r="D45" s="45"/>
      <c r="E45" s="45"/>
      <c r="F45" s="45"/>
      <c r="G45" s="45"/>
      <c r="H45" s="45"/>
      <c r="I45" s="204"/>
      <c r="J45" s="214">
        <v>35</v>
      </c>
      <c r="K45" s="215"/>
      <c r="L45" s="205"/>
      <c r="M45" s="214">
        <v>35</v>
      </c>
      <c r="N45" s="215"/>
      <c r="O45" s="206"/>
      <c r="P45" s="45"/>
      <c r="Q45" s="45"/>
    </row>
    <row r="46" ht="15.75" customHeight="1" spans="1:17">
      <c r="A46" s="45"/>
      <c r="B46" s="45"/>
      <c r="C46" s="45"/>
      <c r="D46" s="45"/>
      <c r="E46" s="45"/>
      <c r="F46" s="45"/>
      <c r="G46" s="45"/>
      <c r="H46" s="45"/>
      <c r="I46" s="204"/>
      <c r="J46" s="214">
        <v>36</v>
      </c>
      <c r="K46" s="215"/>
      <c r="L46" s="205"/>
      <c r="M46" s="214">
        <v>36</v>
      </c>
      <c r="N46" s="215"/>
      <c r="O46" s="206"/>
      <c r="P46" s="45"/>
      <c r="Q46" s="45"/>
    </row>
    <row r="47" ht="15.75" customHeight="1" spans="1:17">
      <c r="A47" s="45"/>
      <c r="B47" s="45"/>
      <c r="C47" s="45"/>
      <c r="D47" s="45"/>
      <c r="E47" s="45"/>
      <c r="F47" s="45"/>
      <c r="G47" s="45"/>
      <c r="H47" s="45"/>
      <c r="I47" s="204"/>
      <c r="J47" s="214">
        <v>37</v>
      </c>
      <c r="K47" s="215"/>
      <c r="L47" s="205"/>
      <c r="M47" s="214">
        <v>37</v>
      </c>
      <c r="N47" s="215"/>
      <c r="O47" s="206"/>
      <c r="P47" s="45"/>
      <c r="Q47" s="45"/>
    </row>
    <row r="48" ht="15.75" customHeight="1" spans="1:17">
      <c r="A48" s="45"/>
      <c r="B48" s="45"/>
      <c r="C48" s="45"/>
      <c r="D48" s="45"/>
      <c r="E48" s="45"/>
      <c r="F48" s="45"/>
      <c r="G48" s="45"/>
      <c r="H48" s="45"/>
      <c r="I48" s="204"/>
      <c r="J48" s="214">
        <v>38</v>
      </c>
      <c r="K48" s="215"/>
      <c r="L48" s="205"/>
      <c r="M48" s="214">
        <v>38</v>
      </c>
      <c r="N48" s="215"/>
      <c r="O48" s="206"/>
      <c r="P48" s="45"/>
      <c r="Q48" s="45"/>
    </row>
    <row r="49" ht="15.75" customHeight="1" spans="1:17">
      <c r="A49" s="45"/>
      <c r="B49" s="45"/>
      <c r="C49" s="45"/>
      <c r="D49" s="45"/>
      <c r="E49" s="45"/>
      <c r="F49" s="45"/>
      <c r="G49" s="45"/>
      <c r="H49" s="45"/>
      <c r="I49" s="204"/>
      <c r="J49" s="214">
        <v>39</v>
      </c>
      <c r="K49" s="215"/>
      <c r="L49" s="205"/>
      <c r="M49" s="214">
        <v>39</v>
      </c>
      <c r="N49" s="215"/>
      <c r="O49" s="206"/>
      <c r="P49" s="45"/>
      <c r="Q49" s="45"/>
    </row>
    <row r="50" ht="15.75" customHeight="1" spans="1:17">
      <c r="A50" s="45"/>
      <c r="B50" s="45"/>
      <c r="C50" s="45"/>
      <c r="D50" s="45"/>
      <c r="E50" s="45"/>
      <c r="F50" s="45"/>
      <c r="G50" s="45"/>
      <c r="H50" s="45"/>
      <c r="I50" s="204"/>
      <c r="J50" s="214">
        <v>40</v>
      </c>
      <c r="K50" s="215"/>
      <c r="L50" s="205"/>
      <c r="M50" s="214">
        <v>40</v>
      </c>
      <c r="N50" s="215"/>
      <c r="O50" s="206"/>
      <c r="P50" s="45"/>
      <c r="Q50" s="45"/>
    </row>
    <row r="51" ht="15.75" customHeight="1" spans="1:17">
      <c r="A51" s="45"/>
      <c r="B51" s="45"/>
      <c r="C51" s="45"/>
      <c r="D51" s="45"/>
      <c r="E51" s="45"/>
      <c r="F51" s="45"/>
      <c r="G51" s="45"/>
      <c r="H51" s="45"/>
      <c r="I51" s="204"/>
      <c r="J51" s="214">
        <v>41</v>
      </c>
      <c r="K51" s="215"/>
      <c r="L51" s="205"/>
      <c r="M51" s="214">
        <v>41</v>
      </c>
      <c r="N51" s="215"/>
      <c r="O51" s="206"/>
      <c r="P51" s="45"/>
      <c r="Q51" s="45"/>
    </row>
    <row r="52" ht="15.75" customHeight="1" spans="1:17">
      <c r="A52" s="45"/>
      <c r="B52" s="45"/>
      <c r="C52" s="45"/>
      <c r="D52" s="45"/>
      <c r="E52" s="45"/>
      <c r="F52" s="45"/>
      <c r="G52" s="45"/>
      <c r="H52" s="45"/>
      <c r="I52" s="204"/>
      <c r="J52" s="214">
        <v>42</v>
      </c>
      <c r="K52" s="215"/>
      <c r="L52" s="205"/>
      <c r="M52" s="214">
        <v>42</v>
      </c>
      <c r="N52" s="215"/>
      <c r="O52" s="206"/>
      <c r="P52" s="45"/>
      <c r="Q52" s="45"/>
    </row>
    <row r="53" ht="15.75" customHeight="1" spans="1:17">
      <c r="A53" s="45"/>
      <c r="B53" s="45"/>
      <c r="C53" s="45"/>
      <c r="D53" s="45"/>
      <c r="E53" s="45"/>
      <c r="F53" s="45"/>
      <c r="G53" s="45"/>
      <c r="H53" s="45"/>
      <c r="I53" s="204"/>
      <c r="J53" s="214">
        <v>43</v>
      </c>
      <c r="K53" s="215"/>
      <c r="L53" s="205"/>
      <c r="M53" s="214">
        <v>43</v>
      </c>
      <c r="N53" s="215"/>
      <c r="O53" s="206"/>
      <c r="P53" s="45"/>
      <c r="Q53" s="45"/>
    </row>
    <row r="54" ht="15.75" customHeight="1" spans="1:17">
      <c r="A54" s="45"/>
      <c r="B54" s="45"/>
      <c r="C54" s="45"/>
      <c r="D54" s="45"/>
      <c r="E54" s="45"/>
      <c r="F54" s="45"/>
      <c r="G54" s="45"/>
      <c r="H54" s="45"/>
      <c r="I54" s="204"/>
      <c r="J54" s="214">
        <v>44</v>
      </c>
      <c r="K54" s="215"/>
      <c r="L54" s="205"/>
      <c r="M54" s="214">
        <v>44</v>
      </c>
      <c r="N54" s="215"/>
      <c r="O54" s="206"/>
      <c r="P54" s="45"/>
      <c r="Q54" s="45"/>
    </row>
    <row r="55" ht="15.75" customHeight="1" spans="1:17">
      <c r="A55" s="45"/>
      <c r="B55" s="45"/>
      <c r="C55" s="45"/>
      <c r="D55" s="45"/>
      <c r="E55" s="45"/>
      <c r="F55" s="45"/>
      <c r="G55" s="45"/>
      <c r="H55" s="45"/>
      <c r="I55" s="204"/>
      <c r="J55" s="214">
        <v>45</v>
      </c>
      <c r="K55" s="215"/>
      <c r="L55" s="205"/>
      <c r="M55" s="214">
        <v>45</v>
      </c>
      <c r="N55" s="215"/>
      <c r="O55" s="206"/>
      <c r="P55" s="45"/>
      <c r="Q55" s="45"/>
    </row>
    <row r="56" ht="15.75" customHeight="1" spans="1:17">
      <c r="A56" s="45"/>
      <c r="B56" s="45"/>
      <c r="C56" s="45"/>
      <c r="D56" s="45"/>
      <c r="E56" s="45"/>
      <c r="F56" s="45"/>
      <c r="G56" s="45"/>
      <c r="H56" s="45"/>
      <c r="I56" s="204"/>
      <c r="J56" s="214">
        <v>46</v>
      </c>
      <c r="K56" s="215"/>
      <c r="L56" s="205"/>
      <c r="M56" s="214">
        <v>46</v>
      </c>
      <c r="N56" s="215"/>
      <c r="O56" s="206"/>
      <c r="P56" s="45"/>
      <c r="Q56" s="45"/>
    </row>
    <row r="57" ht="15.75" customHeight="1" spans="1:17">
      <c r="A57" s="45"/>
      <c r="B57" s="45"/>
      <c r="C57" s="45"/>
      <c r="D57" s="45"/>
      <c r="E57" s="45"/>
      <c r="F57" s="45"/>
      <c r="G57" s="45"/>
      <c r="H57" s="45"/>
      <c r="I57" s="204"/>
      <c r="J57" s="214">
        <v>47</v>
      </c>
      <c r="K57" s="215"/>
      <c r="L57" s="205"/>
      <c r="M57" s="214">
        <v>47</v>
      </c>
      <c r="N57" s="215"/>
      <c r="O57" s="206"/>
      <c r="P57" s="45"/>
      <c r="Q57" s="45"/>
    </row>
    <row r="58" ht="15.75" customHeight="1" spans="1:17">
      <c r="A58" s="45"/>
      <c r="B58" s="45"/>
      <c r="C58" s="45"/>
      <c r="D58" s="45"/>
      <c r="E58" s="45"/>
      <c r="F58" s="45"/>
      <c r="G58" s="45"/>
      <c r="H58" s="45"/>
      <c r="I58" s="204"/>
      <c r="J58" s="214">
        <v>48</v>
      </c>
      <c r="K58" s="215"/>
      <c r="L58" s="205"/>
      <c r="M58" s="214">
        <v>48</v>
      </c>
      <c r="N58" s="215"/>
      <c r="O58" s="206"/>
      <c r="P58" s="45"/>
      <c r="Q58" s="45"/>
    </row>
    <row r="59" ht="15.75" customHeight="1" spans="1:17">
      <c r="A59" s="45"/>
      <c r="B59" s="45"/>
      <c r="C59" s="45"/>
      <c r="D59" s="45"/>
      <c r="E59" s="45"/>
      <c r="F59" s="45"/>
      <c r="G59" s="45"/>
      <c r="H59" s="45"/>
      <c r="I59" s="204"/>
      <c r="J59" s="214">
        <v>49</v>
      </c>
      <c r="K59" s="215"/>
      <c r="L59" s="205"/>
      <c r="M59" s="214">
        <v>49</v>
      </c>
      <c r="N59" s="215"/>
      <c r="O59" s="206"/>
      <c r="P59" s="45"/>
      <c r="Q59" s="45"/>
    </row>
    <row r="60" ht="15.75" customHeight="1" spans="1:17">
      <c r="A60" s="45"/>
      <c r="B60" s="45"/>
      <c r="C60" s="45"/>
      <c r="D60" s="45"/>
      <c r="E60" s="45"/>
      <c r="F60" s="45"/>
      <c r="G60" s="45"/>
      <c r="H60" s="45"/>
      <c r="I60" s="237"/>
      <c r="J60" s="214">
        <v>50</v>
      </c>
      <c r="K60" s="215"/>
      <c r="L60" s="205"/>
      <c r="M60" s="214">
        <v>50</v>
      </c>
      <c r="N60" s="215"/>
      <c r="O60" s="206"/>
      <c r="P60" s="45"/>
      <c r="Q60" s="45"/>
    </row>
    <row r="61" ht="15.75" customHeight="1" spans="1:17">
      <c r="A61" s="45"/>
      <c r="B61" s="45"/>
      <c r="C61" s="45"/>
      <c r="D61" s="45"/>
      <c r="E61" s="45"/>
      <c r="F61" s="45"/>
      <c r="G61" s="45"/>
      <c r="H61" s="45"/>
      <c r="I61" s="223"/>
      <c r="J61" s="238"/>
      <c r="K61" s="224"/>
      <c r="L61" s="224"/>
      <c r="M61" s="224"/>
      <c r="N61" s="238"/>
      <c r="O61" s="225"/>
      <c r="P61" s="45"/>
      <c r="Q61" s="45"/>
    </row>
    <row r="62" ht="15.75" customHeight="1" spans="1:17">
      <c r="A62" s="45"/>
      <c r="B62" s="45"/>
      <c r="C62" s="45"/>
      <c r="D62" s="45"/>
      <c r="E62" s="45"/>
      <c r="F62" s="45"/>
      <c r="G62" s="45"/>
      <c r="H62" s="45"/>
      <c r="I62" s="45"/>
      <c r="J62" s="45"/>
      <c r="K62" s="45"/>
      <c r="L62" s="45"/>
      <c r="M62" s="45"/>
      <c r="N62" s="45"/>
      <c r="O62" s="239" t="s">
        <v>20</v>
      </c>
      <c r="P62" s="45"/>
      <c r="Q62" s="45"/>
    </row>
    <row r="63" ht="15.75" customHeight="1" spans="1:17">
      <c r="A63" s="45"/>
      <c r="B63" s="45"/>
      <c r="C63" s="45"/>
      <c r="D63" s="45"/>
      <c r="E63" s="45"/>
      <c r="F63" s="45"/>
      <c r="G63" s="45"/>
      <c r="H63" s="45"/>
      <c r="I63" s="45"/>
      <c r="J63" s="45"/>
      <c r="K63" s="45"/>
      <c r="L63" s="45"/>
      <c r="M63" s="45"/>
      <c r="N63" s="45"/>
      <c r="O63" s="239"/>
      <c r="P63" s="45"/>
      <c r="Q63" s="45"/>
    </row>
    <row r="64" ht="15.75" customHeight="1" spans="1:17">
      <c r="A64" s="45"/>
      <c r="B64" s="45"/>
      <c r="C64" s="45"/>
      <c r="D64" s="45"/>
      <c r="E64" s="45"/>
      <c r="F64" s="45"/>
      <c r="G64" s="45"/>
      <c r="H64" s="45"/>
      <c r="I64" s="45"/>
      <c r="J64" s="45"/>
      <c r="K64" s="45"/>
      <c r="L64" s="45"/>
      <c r="M64" s="45"/>
      <c r="N64" s="45"/>
      <c r="O64" s="239"/>
      <c r="P64" s="45"/>
      <c r="Q64" s="45"/>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E10:F10"/>
    <mergeCell ref="J10:K10"/>
    <mergeCell ref="M10:N10"/>
    <mergeCell ref="E13:F13"/>
    <mergeCell ref="E14:F14"/>
    <mergeCell ref="E15:F15"/>
    <mergeCell ref="E16:F16"/>
    <mergeCell ref="E23:F23"/>
    <mergeCell ref="E24:F24"/>
    <mergeCell ref="E25:F25"/>
    <mergeCell ref="E26:F26"/>
    <mergeCell ref="A1:P5"/>
    <mergeCell ref="B7:G8"/>
    <mergeCell ref="I7:O8"/>
    <mergeCell ref="C28:F31"/>
    <mergeCell ref="B36:G38"/>
    <mergeCell ref="B20:G21"/>
  </mergeCells>
  <dataValidations count="4">
    <dataValidation type="list" allowBlank="1" showInputMessage="1" showErrorMessage="1" prompt="Region - Select the region from the dropdown list." sqref="E10">
      <formula1>"Select Region,CAR,NCR,Region I,Region II,Region III,Region IV-A,MIMAROPA,Region V,Region VI,Region VII,Region VIII,NIR,Region IX,Region X,Region XI,Region XII,CARAGA,BARMM"</formula1>
    </dataValidation>
    <dataValidation type="list" allowBlank="1" showInputMessage="1" showErrorMessage="1" prompt="School Year - Select the school year from the dropdown list." sqref="E15">
      <formula1>"2026-2027,2027-2028,2028-2029,2029-2030"</formula1>
    </dataValidation>
    <dataValidation type="list" allowBlank="1" showInputMessage="1" showErrorMessage="1" prompt="Subject - Select the subject from the dropdown list." sqref="E24">
      <formula1>"Science,Mathematics,Filipino,English,Araling Panlipunan,Makabansa"</formula1>
    </dataValidation>
    <dataValidation type="list" allowBlank="1" showErrorMessage="1" sqref="E25">
      <formula1>"2,3,4,5,6,7,8,9,10"</formula1>
    </dataValidation>
  </dataValidations>
  <pageMargins left="0.7" right="0.7" top="0.75" bottom="0.75" header="0" footer="0"/>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22</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SCIENCE</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50" t="str">
        <f t="shared" ref="L18:L67" si="1">IF(COUNT(F18:J18)=0,"",IFERROR(K18/$K$15*$L$15,""))</f>
        <v/>
      </c>
      <c r="M18" s="196" t="str">
        <f t="shared" ref="M18:M67" si="2">IF(L18="","",L18*$M$15)</f>
        <v/>
      </c>
      <c r="N18" s="144"/>
      <c r="O18" s="145"/>
      <c r="P18" s="146"/>
      <c r="Q18" s="147" t="str">
        <f t="shared" ref="Q18:Q67" si="3">IF(COUNT(N18:P18)=0,"",SUM(N18:P18))</f>
        <v/>
      </c>
      <c r="R18" s="150" t="str">
        <f t="shared" ref="R18:R67" si="4">IF(COUNT(N18:P18)=0,"",IFERROR(Q18/$Q$15*$R$15,""))</f>
        <v/>
      </c>
      <c r="S18" s="196"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97" t="str">
        <f t="shared" ref="AA18:AA67" si="10">IF(Z18="","",Z18*$AA$15)</f>
        <v/>
      </c>
      <c r="AB18" s="198"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4" t="str">
        <f t="shared" si="1"/>
        <v/>
      </c>
      <c r="M19" s="199" t="str">
        <f t="shared" si="2"/>
        <v/>
      </c>
      <c r="N19" s="158"/>
      <c r="O19" s="159"/>
      <c r="P19" s="160"/>
      <c r="Q19" s="161" t="str">
        <f t="shared" si="3"/>
        <v/>
      </c>
      <c r="R19" s="164" t="str">
        <f t="shared" si="4"/>
        <v/>
      </c>
      <c r="S19" s="199" t="str">
        <f t="shared" si="5"/>
        <v/>
      </c>
      <c r="T19" s="158"/>
      <c r="U19" s="159"/>
      <c r="V19" s="160"/>
      <c r="W19" s="165" t="str">
        <f t="shared" si="6"/>
        <v/>
      </c>
      <c r="X19" s="164" t="str">
        <f t="shared" si="7"/>
        <v/>
      </c>
      <c r="Y19" s="163" t="str">
        <f t="shared" si="8"/>
        <v/>
      </c>
      <c r="Z19" s="166" t="str">
        <f t="shared" si="9"/>
        <v/>
      </c>
      <c r="AA19" s="200" t="str">
        <f t="shared" si="10"/>
        <v/>
      </c>
      <c r="AB19" s="201"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4" t="str">
        <f t="shared" si="1"/>
        <v/>
      </c>
      <c r="M20" s="199" t="str">
        <f t="shared" si="2"/>
        <v/>
      </c>
      <c r="N20" s="158"/>
      <c r="O20" s="159"/>
      <c r="P20" s="160"/>
      <c r="Q20" s="161" t="str">
        <f t="shared" si="3"/>
        <v/>
      </c>
      <c r="R20" s="164" t="str">
        <f t="shared" si="4"/>
        <v/>
      </c>
      <c r="S20" s="199" t="str">
        <f t="shared" si="5"/>
        <v/>
      </c>
      <c r="T20" s="158"/>
      <c r="U20" s="159"/>
      <c r="V20" s="160"/>
      <c r="W20" s="165" t="str">
        <f t="shared" si="6"/>
        <v/>
      </c>
      <c r="X20" s="164" t="str">
        <f t="shared" si="7"/>
        <v/>
      </c>
      <c r="Y20" s="163" t="str">
        <f t="shared" si="8"/>
        <v/>
      </c>
      <c r="Z20" s="166" t="str">
        <f t="shared" si="9"/>
        <v/>
      </c>
      <c r="AA20" s="200" t="str">
        <f t="shared" si="10"/>
        <v/>
      </c>
      <c r="AB20" s="201"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4" t="str">
        <f t="shared" si="1"/>
        <v/>
      </c>
      <c r="M21" s="199" t="str">
        <f t="shared" si="2"/>
        <v/>
      </c>
      <c r="N21" s="158"/>
      <c r="O21" s="159"/>
      <c r="P21" s="160"/>
      <c r="Q21" s="161" t="str">
        <f t="shared" si="3"/>
        <v/>
      </c>
      <c r="R21" s="164" t="str">
        <f t="shared" si="4"/>
        <v/>
      </c>
      <c r="S21" s="199" t="str">
        <f t="shared" si="5"/>
        <v/>
      </c>
      <c r="T21" s="158"/>
      <c r="U21" s="159"/>
      <c r="V21" s="160"/>
      <c r="W21" s="165" t="str">
        <f t="shared" si="6"/>
        <v/>
      </c>
      <c r="X21" s="164" t="str">
        <f t="shared" si="7"/>
        <v/>
      </c>
      <c r="Y21" s="163" t="str">
        <f t="shared" si="8"/>
        <v/>
      </c>
      <c r="Z21" s="166" t="str">
        <f t="shared" si="9"/>
        <v/>
      </c>
      <c r="AA21" s="200" t="str">
        <f t="shared" si="10"/>
        <v/>
      </c>
      <c r="AB21" s="201"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4" t="str">
        <f t="shared" si="1"/>
        <v/>
      </c>
      <c r="M22" s="199" t="str">
        <f t="shared" si="2"/>
        <v/>
      </c>
      <c r="N22" s="158"/>
      <c r="O22" s="159"/>
      <c r="P22" s="160"/>
      <c r="Q22" s="161" t="str">
        <f t="shared" si="3"/>
        <v/>
      </c>
      <c r="R22" s="164" t="str">
        <f t="shared" si="4"/>
        <v/>
      </c>
      <c r="S22" s="199" t="str">
        <f t="shared" si="5"/>
        <v/>
      </c>
      <c r="T22" s="158"/>
      <c r="U22" s="159"/>
      <c r="V22" s="160"/>
      <c r="W22" s="165" t="str">
        <f t="shared" si="6"/>
        <v/>
      </c>
      <c r="X22" s="164" t="str">
        <f t="shared" si="7"/>
        <v/>
      </c>
      <c r="Y22" s="163" t="str">
        <f t="shared" si="8"/>
        <v/>
      </c>
      <c r="Z22" s="166" t="str">
        <f t="shared" si="9"/>
        <v/>
      </c>
      <c r="AA22" s="200" t="str">
        <f t="shared" si="10"/>
        <v/>
      </c>
      <c r="AB22" s="201"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4" t="str">
        <f t="shared" si="1"/>
        <v/>
      </c>
      <c r="M23" s="199" t="str">
        <f t="shared" si="2"/>
        <v/>
      </c>
      <c r="N23" s="158"/>
      <c r="O23" s="159"/>
      <c r="P23" s="160"/>
      <c r="Q23" s="161" t="str">
        <f t="shared" si="3"/>
        <v/>
      </c>
      <c r="R23" s="164" t="str">
        <f t="shared" si="4"/>
        <v/>
      </c>
      <c r="S23" s="199" t="str">
        <f t="shared" si="5"/>
        <v/>
      </c>
      <c r="T23" s="158"/>
      <c r="U23" s="159"/>
      <c r="V23" s="160"/>
      <c r="W23" s="165" t="str">
        <f t="shared" si="6"/>
        <v/>
      </c>
      <c r="X23" s="164" t="str">
        <f t="shared" si="7"/>
        <v/>
      </c>
      <c r="Y23" s="163" t="str">
        <f t="shared" si="8"/>
        <v/>
      </c>
      <c r="Z23" s="166" t="str">
        <f t="shared" si="9"/>
        <v/>
      </c>
      <c r="AA23" s="200" t="str">
        <f t="shared" si="10"/>
        <v/>
      </c>
      <c r="AB23" s="201"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4" t="str">
        <f t="shared" si="1"/>
        <v/>
      </c>
      <c r="M24" s="199" t="str">
        <f t="shared" si="2"/>
        <v/>
      </c>
      <c r="N24" s="158"/>
      <c r="O24" s="159"/>
      <c r="P24" s="160"/>
      <c r="Q24" s="161" t="str">
        <f t="shared" si="3"/>
        <v/>
      </c>
      <c r="R24" s="164" t="str">
        <f t="shared" si="4"/>
        <v/>
      </c>
      <c r="S24" s="199" t="str">
        <f t="shared" si="5"/>
        <v/>
      </c>
      <c r="T24" s="158"/>
      <c r="U24" s="159"/>
      <c r="V24" s="160"/>
      <c r="W24" s="165" t="str">
        <f t="shared" si="6"/>
        <v/>
      </c>
      <c r="X24" s="164" t="str">
        <f t="shared" si="7"/>
        <v/>
      </c>
      <c r="Y24" s="163" t="str">
        <f t="shared" si="8"/>
        <v/>
      </c>
      <c r="Z24" s="166" t="str">
        <f t="shared" si="9"/>
        <v/>
      </c>
      <c r="AA24" s="200" t="str">
        <f t="shared" si="10"/>
        <v/>
      </c>
      <c r="AB24" s="201"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4" t="str">
        <f t="shared" si="1"/>
        <v/>
      </c>
      <c r="M25" s="199" t="str">
        <f t="shared" si="2"/>
        <v/>
      </c>
      <c r="N25" s="158"/>
      <c r="O25" s="159"/>
      <c r="P25" s="160"/>
      <c r="Q25" s="161" t="str">
        <f t="shared" si="3"/>
        <v/>
      </c>
      <c r="R25" s="164" t="str">
        <f t="shared" si="4"/>
        <v/>
      </c>
      <c r="S25" s="199" t="str">
        <f t="shared" si="5"/>
        <v/>
      </c>
      <c r="T25" s="158"/>
      <c r="U25" s="159"/>
      <c r="V25" s="160"/>
      <c r="W25" s="165" t="str">
        <f t="shared" si="6"/>
        <v/>
      </c>
      <c r="X25" s="164" t="str">
        <f t="shared" si="7"/>
        <v/>
      </c>
      <c r="Y25" s="163" t="str">
        <f t="shared" si="8"/>
        <v/>
      </c>
      <c r="Z25" s="166" t="str">
        <f t="shared" si="9"/>
        <v/>
      </c>
      <c r="AA25" s="200" t="str">
        <f t="shared" si="10"/>
        <v/>
      </c>
      <c r="AB25" s="201"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4" t="str">
        <f t="shared" si="1"/>
        <v/>
      </c>
      <c r="M26" s="199" t="str">
        <f t="shared" si="2"/>
        <v/>
      </c>
      <c r="N26" s="158"/>
      <c r="O26" s="159"/>
      <c r="P26" s="160"/>
      <c r="Q26" s="161" t="str">
        <f t="shared" si="3"/>
        <v/>
      </c>
      <c r="R26" s="164" t="str">
        <f t="shared" si="4"/>
        <v/>
      </c>
      <c r="S26" s="199" t="str">
        <f t="shared" si="5"/>
        <v/>
      </c>
      <c r="T26" s="158"/>
      <c r="U26" s="159"/>
      <c r="V26" s="160"/>
      <c r="W26" s="165" t="str">
        <f t="shared" si="6"/>
        <v/>
      </c>
      <c r="X26" s="164" t="str">
        <f t="shared" si="7"/>
        <v/>
      </c>
      <c r="Y26" s="163" t="str">
        <f t="shared" si="8"/>
        <v/>
      </c>
      <c r="Z26" s="166" t="str">
        <f t="shared" si="9"/>
        <v/>
      </c>
      <c r="AA26" s="200" t="str">
        <f t="shared" si="10"/>
        <v/>
      </c>
      <c r="AB26" s="201"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4" t="str">
        <f t="shared" si="1"/>
        <v/>
      </c>
      <c r="M27" s="199" t="str">
        <f t="shared" si="2"/>
        <v/>
      </c>
      <c r="N27" s="158"/>
      <c r="O27" s="159"/>
      <c r="P27" s="160"/>
      <c r="Q27" s="161" t="str">
        <f t="shared" si="3"/>
        <v/>
      </c>
      <c r="R27" s="164" t="str">
        <f t="shared" si="4"/>
        <v/>
      </c>
      <c r="S27" s="199" t="str">
        <f t="shared" si="5"/>
        <v/>
      </c>
      <c r="T27" s="158"/>
      <c r="U27" s="159"/>
      <c r="V27" s="160"/>
      <c r="W27" s="165" t="str">
        <f t="shared" si="6"/>
        <v/>
      </c>
      <c r="X27" s="164" t="str">
        <f t="shared" si="7"/>
        <v/>
      </c>
      <c r="Y27" s="163" t="str">
        <f t="shared" si="8"/>
        <v/>
      </c>
      <c r="Z27" s="166" t="str">
        <f t="shared" si="9"/>
        <v/>
      </c>
      <c r="AA27" s="200" t="str">
        <f t="shared" si="10"/>
        <v/>
      </c>
      <c r="AB27" s="201"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4" t="str">
        <f t="shared" si="1"/>
        <v/>
      </c>
      <c r="M28" s="199" t="str">
        <f t="shared" si="2"/>
        <v/>
      </c>
      <c r="N28" s="158"/>
      <c r="O28" s="159"/>
      <c r="P28" s="160"/>
      <c r="Q28" s="161" t="str">
        <f t="shared" si="3"/>
        <v/>
      </c>
      <c r="R28" s="164" t="str">
        <f t="shared" si="4"/>
        <v/>
      </c>
      <c r="S28" s="199" t="str">
        <f t="shared" si="5"/>
        <v/>
      </c>
      <c r="T28" s="158"/>
      <c r="U28" s="159"/>
      <c r="V28" s="160"/>
      <c r="W28" s="165" t="str">
        <f t="shared" si="6"/>
        <v/>
      </c>
      <c r="X28" s="164" t="str">
        <f t="shared" si="7"/>
        <v/>
      </c>
      <c r="Y28" s="163" t="str">
        <f t="shared" si="8"/>
        <v/>
      </c>
      <c r="Z28" s="166" t="str">
        <f t="shared" si="9"/>
        <v/>
      </c>
      <c r="AA28" s="200" t="str">
        <f t="shared" si="10"/>
        <v/>
      </c>
      <c r="AB28" s="201"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4" t="str">
        <f t="shared" si="1"/>
        <v/>
      </c>
      <c r="M29" s="199" t="str">
        <f t="shared" si="2"/>
        <v/>
      </c>
      <c r="N29" s="158"/>
      <c r="O29" s="159"/>
      <c r="P29" s="160"/>
      <c r="Q29" s="161" t="str">
        <f t="shared" si="3"/>
        <v/>
      </c>
      <c r="R29" s="164" t="str">
        <f t="shared" si="4"/>
        <v/>
      </c>
      <c r="S29" s="199" t="str">
        <f t="shared" si="5"/>
        <v/>
      </c>
      <c r="T29" s="158"/>
      <c r="U29" s="159"/>
      <c r="V29" s="160"/>
      <c r="W29" s="165" t="str">
        <f t="shared" si="6"/>
        <v/>
      </c>
      <c r="X29" s="164" t="str">
        <f t="shared" si="7"/>
        <v/>
      </c>
      <c r="Y29" s="163" t="str">
        <f t="shared" si="8"/>
        <v/>
      </c>
      <c r="Z29" s="166" t="str">
        <f t="shared" si="9"/>
        <v/>
      </c>
      <c r="AA29" s="200" t="str">
        <f t="shared" si="10"/>
        <v/>
      </c>
      <c r="AB29" s="201"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4" t="str">
        <f t="shared" si="1"/>
        <v/>
      </c>
      <c r="M30" s="199" t="str">
        <f t="shared" si="2"/>
        <v/>
      </c>
      <c r="N30" s="158"/>
      <c r="O30" s="159"/>
      <c r="P30" s="160"/>
      <c r="Q30" s="161" t="str">
        <f t="shared" si="3"/>
        <v/>
      </c>
      <c r="R30" s="164" t="str">
        <f t="shared" si="4"/>
        <v/>
      </c>
      <c r="S30" s="199" t="str">
        <f t="shared" si="5"/>
        <v/>
      </c>
      <c r="T30" s="158"/>
      <c r="U30" s="159"/>
      <c r="V30" s="160"/>
      <c r="W30" s="165" t="str">
        <f t="shared" si="6"/>
        <v/>
      </c>
      <c r="X30" s="164" t="str">
        <f t="shared" si="7"/>
        <v/>
      </c>
      <c r="Y30" s="163" t="str">
        <f t="shared" si="8"/>
        <v/>
      </c>
      <c r="Z30" s="166" t="str">
        <f t="shared" si="9"/>
        <v/>
      </c>
      <c r="AA30" s="200" t="str">
        <f t="shared" si="10"/>
        <v/>
      </c>
      <c r="AB30" s="201"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4" t="str">
        <f t="shared" si="1"/>
        <v/>
      </c>
      <c r="M31" s="199" t="str">
        <f t="shared" si="2"/>
        <v/>
      </c>
      <c r="N31" s="158"/>
      <c r="O31" s="159"/>
      <c r="P31" s="160"/>
      <c r="Q31" s="161" t="str">
        <f t="shared" si="3"/>
        <v/>
      </c>
      <c r="R31" s="164" t="str">
        <f t="shared" si="4"/>
        <v/>
      </c>
      <c r="S31" s="199" t="str">
        <f t="shared" si="5"/>
        <v/>
      </c>
      <c r="T31" s="158"/>
      <c r="U31" s="159"/>
      <c r="V31" s="160"/>
      <c r="W31" s="165" t="str">
        <f t="shared" si="6"/>
        <v/>
      </c>
      <c r="X31" s="164" t="str">
        <f t="shared" si="7"/>
        <v/>
      </c>
      <c r="Y31" s="163" t="str">
        <f t="shared" si="8"/>
        <v/>
      </c>
      <c r="Z31" s="166" t="str">
        <f t="shared" si="9"/>
        <v/>
      </c>
      <c r="AA31" s="200" t="str">
        <f t="shared" si="10"/>
        <v/>
      </c>
      <c r="AB31" s="201"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4" t="str">
        <f t="shared" si="1"/>
        <v/>
      </c>
      <c r="M32" s="199" t="str">
        <f t="shared" si="2"/>
        <v/>
      </c>
      <c r="N32" s="158"/>
      <c r="O32" s="159"/>
      <c r="P32" s="160"/>
      <c r="Q32" s="161" t="str">
        <f t="shared" si="3"/>
        <v/>
      </c>
      <c r="R32" s="164" t="str">
        <f t="shared" si="4"/>
        <v/>
      </c>
      <c r="S32" s="199" t="str">
        <f t="shared" si="5"/>
        <v/>
      </c>
      <c r="T32" s="158"/>
      <c r="U32" s="159"/>
      <c r="V32" s="160"/>
      <c r="W32" s="165" t="str">
        <f t="shared" si="6"/>
        <v/>
      </c>
      <c r="X32" s="164" t="str">
        <f t="shared" si="7"/>
        <v/>
      </c>
      <c r="Y32" s="163" t="str">
        <f t="shared" si="8"/>
        <v/>
      </c>
      <c r="Z32" s="166" t="str">
        <f t="shared" si="9"/>
        <v/>
      </c>
      <c r="AA32" s="200" t="str">
        <f t="shared" si="10"/>
        <v/>
      </c>
      <c r="AB32" s="201"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4" t="str">
        <f t="shared" si="1"/>
        <v/>
      </c>
      <c r="M33" s="199" t="str">
        <f t="shared" si="2"/>
        <v/>
      </c>
      <c r="N33" s="158"/>
      <c r="O33" s="159"/>
      <c r="P33" s="160"/>
      <c r="Q33" s="161" t="str">
        <f t="shared" si="3"/>
        <v/>
      </c>
      <c r="R33" s="164" t="str">
        <f t="shared" si="4"/>
        <v/>
      </c>
      <c r="S33" s="199" t="str">
        <f t="shared" si="5"/>
        <v/>
      </c>
      <c r="T33" s="158"/>
      <c r="U33" s="159"/>
      <c r="V33" s="160"/>
      <c r="W33" s="165" t="str">
        <f t="shared" si="6"/>
        <v/>
      </c>
      <c r="X33" s="164" t="str">
        <f t="shared" si="7"/>
        <v/>
      </c>
      <c r="Y33" s="163" t="str">
        <f t="shared" si="8"/>
        <v/>
      </c>
      <c r="Z33" s="166" t="str">
        <f t="shared" si="9"/>
        <v/>
      </c>
      <c r="AA33" s="200" t="str">
        <f t="shared" si="10"/>
        <v/>
      </c>
      <c r="AB33" s="201"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4" t="str">
        <f t="shared" si="1"/>
        <v/>
      </c>
      <c r="M34" s="199" t="str">
        <f t="shared" si="2"/>
        <v/>
      </c>
      <c r="N34" s="158"/>
      <c r="O34" s="159"/>
      <c r="P34" s="160"/>
      <c r="Q34" s="161" t="str">
        <f t="shared" si="3"/>
        <v/>
      </c>
      <c r="R34" s="164" t="str">
        <f t="shared" si="4"/>
        <v/>
      </c>
      <c r="S34" s="199" t="str">
        <f t="shared" si="5"/>
        <v/>
      </c>
      <c r="T34" s="158"/>
      <c r="U34" s="159"/>
      <c r="V34" s="160"/>
      <c r="W34" s="165" t="str">
        <f t="shared" si="6"/>
        <v/>
      </c>
      <c r="X34" s="164" t="str">
        <f t="shared" si="7"/>
        <v/>
      </c>
      <c r="Y34" s="163" t="str">
        <f t="shared" si="8"/>
        <v/>
      </c>
      <c r="Z34" s="166" t="str">
        <f t="shared" si="9"/>
        <v/>
      </c>
      <c r="AA34" s="200" t="str">
        <f t="shared" si="10"/>
        <v/>
      </c>
      <c r="AB34" s="201"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4" t="str">
        <f t="shared" si="1"/>
        <v/>
      </c>
      <c r="M35" s="199" t="str">
        <f t="shared" si="2"/>
        <v/>
      </c>
      <c r="N35" s="158"/>
      <c r="O35" s="159"/>
      <c r="P35" s="160"/>
      <c r="Q35" s="161" t="str">
        <f t="shared" si="3"/>
        <v/>
      </c>
      <c r="R35" s="164" t="str">
        <f t="shared" si="4"/>
        <v/>
      </c>
      <c r="S35" s="199" t="str">
        <f t="shared" si="5"/>
        <v/>
      </c>
      <c r="T35" s="158"/>
      <c r="U35" s="159"/>
      <c r="V35" s="160"/>
      <c r="W35" s="165" t="str">
        <f t="shared" si="6"/>
        <v/>
      </c>
      <c r="X35" s="164" t="str">
        <f t="shared" si="7"/>
        <v/>
      </c>
      <c r="Y35" s="163" t="str">
        <f t="shared" si="8"/>
        <v/>
      </c>
      <c r="Z35" s="166" t="str">
        <f t="shared" si="9"/>
        <v/>
      </c>
      <c r="AA35" s="200" t="str">
        <f t="shared" si="10"/>
        <v/>
      </c>
      <c r="AB35" s="201"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4" t="str">
        <f t="shared" si="1"/>
        <v/>
      </c>
      <c r="M36" s="199" t="str">
        <f t="shared" si="2"/>
        <v/>
      </c>
      <c r="N36" s="158"/>
      <c r="O36" s="159"/>
      <c r="P36" s="160"/>
      <c r="Q36" s="161" t="str">
        <f t="shared" si="3"/>
        <v/>
      </c>
      <c r="R36" s="164" t="str">
        <f t="shared" si="4"/>
        <v/>
      </c>
      <c r="S36" s="199" t="str">
        <f t="shared" si="5"/>
        <v/>
      </c>
      <c r="T36" s="158"/>
      <c r="U36" s="159"/>
      <c r="V36" s="160"/>
      <c r="W36" s="165" t="str">
        <f t="shared" si="6"/>
        <v/>
      </c>
      <c r="X36" s="164" t="str">
        <f t="shared" si="7"/>
        <v/>
      </c>
      <c r="Y36" s="163" t="str">
        <f t="shared" si="8"/>
        <v/>
      </c>
      <c r="Z36" s="166" t="str">
        <f t="shared" si="9"/>
        <v/>
      </c>
      <c r="AA36" s="200" t="str">
        <f t="shared" si="10"/>
        <v/>
      </c>
      <c r="AB36" s="201"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4" t="str">
        <f t="shared" si="1"/>
        <v/>
      </c>
      <c r="M37" s="199" t="str">
        <f t="shared" si="2"/>
        <v/>
      </c>
      <c r="N37" s="158"/>
      <c r="O37" s="159"/>
      <c r="P37" s="160"/>
      <c r="Q37" s="161" t="str">
        <f t="shared" si="3"/>
        <v/>
      </c>
      <c r="R37" s="164" t="str">
        <f t="shared" si="4"/>
        <v/>
      </c>
      <c r="S37" s="199" t="str">
        <f t="shared" si="5"/>
        <v/>
      </c>
      <c r="T37" s="158"/>
      <c r="U37" s="159"/>
      <c r="V37" s="160"/>
      <c r="W37" s="165" t="str">
        <f t="shared" si="6"/>
        <v/>
      </c>
      <c r="X37" s="164" t="str">
        <f t="shared" si="7"/>
        <v/>
      </c>
      <c r="Y37" s="163" t="str">
        <f t="shared" si="8"/>
        <v/>
      </c>
      <c r="Z37" s="166" t="str">
        <f t="shared" si="9"/>
        <v/>
      </c>
      <c r="AA37" s="200" t="str">
        <f t="shared" si="10"/>
        <v/>
      </c>
      <c r="AB37" s="201"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4" t="str">
        <f t="shared" si="1"/>
        <v/>
      </c>
      <c r="M38" s="199" t="str">
        <f t="shared" si="2"/>
        <v/>
      </c>
      <c r="N38" s="158"/>
      <c r="O38" s="159"/>
      <c r="P38" s="160"/>
      <c r="Q38" s="161" t="str">
        <f t="shared" si="3"/>
        <v/>
      </c>
      <c r="R38" s="164" t="str">
        <f t="shared" si="4"/>
        <v/>
      </c>
      <c r="S38" s="199" t="str">
        <f t="shared" si="5"/>
        <v/>
      </c>
      <c r="T38" s="158"/>
      <c r="U38" s="159"/>
      <c r="V38" s="160"/>
      <c r="W38" s="165" t="str">
        <f t="shared" si="6"/>
        <v/>
      </c>
      <c r="X38" s="164" t="str">
        <f t="shared" si="7"/>
        <v/>
      </c>
      <c r="Y38" s="163" t="str">
        <f t="shared" si="8"/>
        <v/>
      </c>
      <c r="Z38" s="166" t="str">
        <f t="shared" si="9"/>
        <v/>
      </c>
      <c r="AA38" s="200" t="str">
        <f t="shared" si="10"/>
        <v/>
      </c>
      <c r="AB38" s="201"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4" t="str">
        <f t="shared" si="1"/>
        <v/>
      </c>
      <c r="M39" s="199" t="str">
        <f t="shared" si="2"/>
        <v/>
      </c>
      <c r="N39" s="158"/>
      <c r="O39" s="159"/>
      <c r="P39" s="160"/>
      <c r="Q39" s="161" t="str">
        <f t="shared" si="3"/>
        <v/>
      </c>
      <c r="R39" s="164" t="str">
        <f t="shared" si="4"/>
        <v/>
      </c>
      <c r="S39" s="199" t="str">
        <f t="shared" si="5"/>
        <v/>
      </c>
      <c r="T39" s="158"/>
      <c r="U39" s="159"/>
      <c r="V39" s="160"/>
      <c r="W39" s="165" t="str">
        <f t="shared" si="6"/>
        <v/>
      </c>
      <c r="X39" s="164" t="str">
        <f t="shared" si="7"/>
        <v/>
      </c>
      <c r="Y39" s="163" t="str">
        <f t="shared" si="8"/>
        <v/>
      </c>
      <c r="Z39" s="166" t="str">
        <f t="shared" si="9"/>
        <v/>
      </c>
      <c r="AA39" s="200" t="str">
        <f t="shared" si="10"/>
        <v/>
      </c>
      <c r="AB39" s="201"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4" t="str">
        <f t="shared" si="1"/>
        <v/>
      </c>
      <c r="M40" s="199" t="str">
        <f t="shared" si="2"/>
        <v/>
      </c>
      <c r="N40" s="158"/>
      <c r="O40" s="159"/>
      <c r="P40" s="160"/>
      <c r="Q40" s="161" t="str">
        <f t="shared" si="3"/>
        <v/>
      </c>
      <c r="R40" s="164" t="str">
        <f t="shared" si="4"/>
        <v/>
      </c>
      <c r="S40" s="199" t="str">
        <f t="shared" si="5"/>
        <v/>
      </c>
      <c r="T40" s="158"/>
      <c r="U40" s="159"/>
      <c r="V40" s="160"/>
      <c r="W40" s="165" t="str">
        <f t="shared" si="6"/>
        <v/>
      </c>
      <c r="X40" s="164" t="str">
        <f t="shared" si="7"/>
        <v/>
      </c>
      <c r="Y40" s="163" t="str">
        <f t="shared" si="8"/>
        <v/>
      </c>
      <c r="Z40" s="166" t="str">
        <f t="shared" si="9"/>
        <v/>
      </c>
      <c r="AA40" s="200" t="str">
        <f t="shared" si="10"/>
        <v/>
      </c>
      <c r="AB40" s="201"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4" t="str">
        <f t="shared" si="1"/>
        <v/>
      </c>
      <c r="M41" s="199" t="str">
        <f t="shared" si="2"/>
        <v/>
      </c>
      <c r="N41" s="158"/>
      <c r="O41" s="159"/>
      <c r="P41" s="160"/>
      <c r="Q41" s="161" t="str">
        <f t="shared" si="3"/>
        <v/>
      </c>
      <c r="R41" s="164" t="str">
        <f t="shared" si="4"/>
        <v/>
      </c>
      <c r="S41" s="199" t="str">
        <f t="shared" si="5"/>
        <v/>
      </c>
      <c r="T41" s="158"/>
      <c r="U41" s="159"/>
      <c r="V41" s="160"/>
      <c r="W41" s="165" t="str">
        <f t="shared" si="6"/>
        <v/>
      </c>
      <c r="X41" s="164" t="str">
        <f t="shared" si="7"/>
        <v/>
      </c>
      <c r="Y41" s="163" t="str">
        <f t="shared" si="8"/>
        <v/>
      </c>
      <c r="Z41" s="166" t="str">
        <f t="shared" si="9"/>
        <v/>
      </c>
      <c r="AA41" s="200" t="str">
        <f t="shared" si="10"/>
        <v/>
      </c>
      <c r="AB41" s="201"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4" t="str">
        <f t="shared" si="1"/>
        <v/>
      </c>
      <c r="M42" s="199" t="str">
        <f t="shared" si="2"/>
        <v/>
      </c>
      <c r="N42" s="158"/>
      <c r="O42" s="159"/>
      <c r="P42" s="160"/>
      <c r="Q42" s="161" t="str">
        <f t="shared" si="3"/>
        <v/>
      </c>
      <c r="R42" s="164" t="str">
        <f t="shared" si="4"/>
        <v/>
      </c>
      <c r="S42" s="199" t="str">
        <f t="shared" si="5"/>
        <v/>
      </c>
      <c r="T42" s="158"/>
      <c r="U42" s="159"/>
      <c r="V42" s="160"/>
      <c r="W42" s="165" t="str">
        <f t="shared" si="6"/>
        <v/>
      </c>
      <c r="X42" s="164" t="str">
        <f t="shared" si="7"/>
        <v/>
      </c>
      <c r="Y42" s="163" t="str">
        <f t="shared" si="8"/>
        <v/>
      </c>
      <c r="Z42" s="166" t="str">
        <f t="shared" si="9"/>
        <v/>
      </c>
      <c r="AA42" s="200" t="str">
        <f t="shared" si="10"/>
        <v/>
      </c>
      <c r="AB42" s="201"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4" t="str">
        <f t="shared" si="1"/>
        <v/>
      </c>
      <c r="M43" s="199" t="str">
        <f t="shared" si="2"/>
        <v/>
      </c>
      <c r="N43" s="158"/>
      <c r="O43" s="159"/>
      <c r="P43" s="160"/>
      <c r="Q43" s="161" t="str">
        <f t="shared" si="3"/>
        <v/>
      </c>
      <c r="R43" s="164" t="str">
        <f t="shared" si="4"/>
        <v/>
      </c>
      <c r="S43" s="199" t="str">
        <f t="shared" si="5"/>
        <v/>
      </c>
      <c r="T43" s="158"/>
      <c r="U43" s="159"/>
      <c r="V43" s="160"/>
      <c r="W43" s="165" t="str">
        <f t="shared" si="6"/>
        <v/>
      </c>
      <c r="X43" s="164" t="str">
        <f t="shared" si="7"/>
        <v/>
      </c>
      <c r="Y43" s="163" t="str">
        <f t="shared" si="8"/>
        <v/>
      </c>
      <c r="Z43" s="166" t="str">
        <f t="shared" si="9"/>
        <v/>
      </c>
      <c r="AA43" s="200" t="str">
        <f t="shared" si="10"/>
        <v/>
      </c>
      <c r="AB43" s="201"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4" t="str">
        <f t="shared" si="1"/>
        <v/>
      </c>
      <c r="M44" s="199" t="str">
        <f t="shared" si="2"/>
        <v/>
      </c>
      <c r="N44" s="158"/>
      <c r="O44" s="159"/>
      <c r="P44" s="160"/>
      <c r="Q44" s="161" t="str">
        <f t="shared" si="3"/>
        <v/>
      </c>
      <c r="R44" s="164" t="str">
        <f t="shared" si="4"/>
        <v/>
      </c>
      <c r="S44" s="199" t="str">
        <f t="shared" si="5"/>
        <v/>
      </c>
      <c r="T44" s="158"/>
      <c r="U44" s="159"/>
      <c r="V44" s="160"/>
      <c r="W44" s="165" t="str">
        <f t="shared" si="6"/>
        <v/>
      </c>
      <c r="X44" s="164" t="str">
        <f t="shared" si="7"/>
        <v/>
      </c>
      <c r="Y44" s="163" t="str">
        <f t="shared" si="8"/>
        <v/>
      </c>
      <c r="Z44" s="166" t="str">
        <f t="shared" si="9"/>
        <v/>
      </c>
      <c r="AA44" s="200" t="str">
        <f t="shared" si="10"/>
        <v/>
      </c>
      <c r="AB44" s="201"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4" t="str">
        <f t="shared" si="1"/>
        <v/>
      </c>
      <c r="M45" s="199" t="str">
        <f t="shared" si="2"/>
        <v/>
      </c>
      <c r="N45" s="158"/>
      <c r="O45" s="159"/>
      <c r="P45" s="160"/>
      <c r="Q45" s="161" t="str">
        <f t="shared" si="3"/>
        <v/>
      </c>
      <c r="R45" s="164" t="str">
        <f t="shared" si="4"/>
        <v/>
      </c>
      <c r="S45" s="199" t="str">
        <f t="shared" si="5"/>
        <v/>
      </c>
      <c r="T45" s="158"/>
      <c r="U45" s="159"/>
      <c r="V45" s="160"/>
      <c r="W45" s="165" t="str">
        <f t="shared" si="6"/>
        <v/>
      </c>
      <c r="X45" s="164" t="str">
        <f t="shared" si="7"/>
        <v/>
      </c>
      <c r="Y45" s="163" t="str">
        <f t="shared" si="8"/>
        <v/>
      </c>
      <c r="Z45" s="166" t="str">
        <f t="shared" si="9"/>
        <v/>
      </c>
      <c r="AA45" s="200" t="str">
        <f t="shared" si="10"/>
        <v/>
      </c>
      <c r="AB45" s="201"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4" t="str">
        <f t="shared" si="1"/>
        <v/>
      </c>
      <c r="M46" s="199" t="str">
        <f t="shared" si="2"/>
        <v/>
      </c>
      <c r="N46" s="158"/>
      <c r="O46" s="159"/>
      <c r="P46" s="160"/>
      <c r="Q46" s="161" t="str">
        <f t="shared" si="3"/>
        <v/>
      </c>
      <c r="R46" s="164" t="str">
        <f t="shared" si="4"/>
        <v/>
      </c>
      <c r="S46" s="199" t="str">
        <f t="shared" si="5"/>
        <v/>
      </c>
      <c r="T46" s="158"/>
      <c r="U46" s="159"/>
      <c r="V46" s="160"/>
      <c r="W46" s="165" t="str">
        <f t="shared" si="6"/>
        <v/>
      </c>
      <c r="X46" s="164" t="str">
        <f t="shared" si="7"/>
        <v/>
      </c>
      <c r="Y46" s="163" t="str">
        <f t="shared" si="8"/>
        <v/>
      </c>
      <c r="Z46" s="166" t="str">
        <f t="shared" si="9"/>
        <v/>
      </c>
      <c r="AA46" s="200" t="str">
        <f t="shared" si="10"/>
        <v/>
      </c>
      <c r="AB46" s="201"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4" t="str">
        <f t="shared" si="1"/>
        <v/>
      </c>
      <c r="M47" s="199" t="str">
        <f t="shared" si="2"/>
        <v/>
      </c>
      <c r="N47" s="158"/>
      <c r="O47" s="159"/>
      <c r="P47" s="160"/>
      <c r="Q47" s="161" t="str">
        <f t="shared" si="3"/>
        <v/>
      </c>
      <c r="R47" s="164" t="str">
        <f t="shared" si="4"/>
        <v/>
      </c>
      <c r="S47" s="199" t="str">
        <f t="shared" si="5"/>
        <v/>
      </c>
      <c r="T47" s="158"/>
      <c r="U47" s="159"/>
      <c r="V47" s="160"/>
      <c r="W47" s="165" t="str">
        <f t="shared" si="6"/>
        <v/>
      </c>
      <c r="X47" s="164" t="str">
        <f t="shared" si="7"/>
        <v/>
      </c>
      <c r="Y47" s="163" t="str">
        <f t="shared" si="8"/>
        <v/>
      </c>
      <c r="Z47" s="166" t="str">
        <f t="shared" si="9"/>
        <v/>
      </c>
      <c r="AA47" s="200" t="str">
        <f t="shared" si="10"/>
        <v/>
      </c>
      <c r="AB47" s="201"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4" t="str">
        <f t="shared" si="1"/>
        <v/>
      </c>
      <c r="M48" s="199" t="str">
        <f t="shared" si="2"/>
        <v/>
      </c>
      <c r="N48" s="158"/>
      <c r="O48" s="159"/>
      <c r="P48" s="160"/>
      <c r="Q48" s="161" t="str">
        <f t="shared" si="3"/>
        <v/>
      </c>
      <c r="R48" s="164" t="str">
        <f t="shared" si="4"/>
        <v/>
      </c>
      <c r="S48" s="199" t="str">
        <f t="shared" si="5"/>
        <v/>
      </c>
      <c r="T48" s="158"/>
      <c r="U48" s="159"/>
      <c r="V48" s="160"/>
      <c r="W48" s="165" t="str">
        <f t="shared" si="6"/>
        <v/>
      </c>
      <c r="X48" s="164" t="str">
        <f t="shared" si="7"/>
        <v/>
      </c>
      <c r="Y48" s="163" t="str">
        <f t="shared" si="8"/>
        <v/>
      </c>
      <c r="Z48" s="166" t="str">
        <f t="shared" si="9"/>
        <v/>
      </c>
      <c r="AA48" s="200" t="str">
        <f t="shared" si="10"/>
        <v/>
      </c>
      <c r="AB48" s="201"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4" t="str">
        <f t="shared" si="1"/>
        <v/>
      </c>
      <c r="M49" s="199" t="str">
        <f t="shared" si="2"/>
        <v/>
      </c>
      <c r="N49" s="158"/>
      <c r="O49" s="159"/>
      <c r="P49" s="160"/>
      <c r="Q49" s="161" t="str">
        <f t="shared" si="3"/>
        <v/>
      </c>
      <c r="R49" s="164" t="str">
        <f t="shared" si="4"/>
        <v/>
      </c>
      <c r="S49" s="199" t="str">
        <f t="shared" si="5"/>
        <v/>
      </c>
      <c r="T49" s="158"/>
      <c r="U49" s="159"/>
      <c r="V49" s="160"/>
      <c r="W49" s="165" t="str">
        <f t="shared" si="6"/>
        <v/>
      </c>
      <c r="X49" s="164" t="str">
        <f t="shared" si="7"/>
        <v/>
      </c>
      <c r="Y49" s="163" t="str">
        <f t="shared" si="8"/>
        <v/>
      </c>
      <c r="Z49" s="166" t="str">
        <f t="shared" si="9"/>
        <v/>
      </c>
      <c r="AA49" s="200" t="str">
        <f t="shared" si="10"/>
        <v/>
      </c>
      <c r="AB49" s="201"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4" t="str">
        <f t="shared" si="1"/>
        <v/>
      </c>
      <c r="M50" s="199" t="str">
        <f t="shared" si="2"/>
        <v/>
      </c>
      <c r="N50" s="158"/>
      <c r="O50" s="159"/>
      <c r="P50" s="160"/>
      <c r="Q50" s="161" t="str">
        <f t="shared" si="3"/>
        <v/>
      </c>
      <c r="R50" s="164" t="str">
        <f t="shared" si="4"/>
        <v/>
      </c>
      <c r="S50" s="199" t="str">
        <f t="shared" si="5"/>
        <v/>
      </c>
      <c r="T50" s="158"/>
      <c r="U50" s="159"/>
      <c r="V50" s="160"/>
      <c r="W50" s="165" t="str">
        <f t="shared" si="6"/>
        <v/>
      </c>
      <c r="X50" s="164" t="str">
        <f t="shared" si="7"/>
        <v/>
      </c>
      <c r="Y50" s="163" t="str">
        <f t="shared" si="8"/>
        <v/>
      </c>
      <c r="Z50" s="166" t="str">
        <f t="shared" si="9"/>
        <v/>
      </c>
      <c r="AA50" s="200" t="str">
        <f t="shared" si="10"/>
        <v/>
      </c>
      <c r="AB50" s="201"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4" t="str">
        <f t="shared" si="1"/>
        <v/>
      </c>
      <c r="M51" s="199" t="str">
        <f t="shared" si="2"/>
        <v/>
      </c>
      <c r="N51" s="158"/>
      <c r="O51" s="159"/>
      <c r="P51" s="160"/>
      <c r="Q51" s="161" t="str">
        <f t="shared" si="3"/>
        <v/>
      </c>
      <c r="R51" s="164" t="str">
        <f t="shared" si="4"/>
        <v/>
      </c>
      <c r="S51" s="199" t="str">
        <f t="shared" si="5"/>
        <v/>
      </c>
      <c r="T51" s="158"/>
      <c r="U51" s="159"/>
      <c r="V51" s="160"/>
      <c r="W51" s="165" t="str">
        <f t="shared" si="6"/>
        <v/>
      </c>
      <c r="X51" s="164" t="str">
        <f t="shared" si="7"/>
        <v/>
      </c>
      <c r="Y51" s="163" t="str">
        <f t="shared" si="8"/>
        <v/>
      </c>
      <c r="Z51" s="166" t="str">
        <f t="shared" si="9"/>
        <v/>
      </c>
      <c r="AA51" s="200" t="str">
        <f t="shared" si="10"/>
        <v/>
      </c>
      <c r="AB51" s="201"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4" t="str">
        <f t="shared" si="1"/>
        <v/>
      </c>
      <c r="M52" s="199" t="str">
        <f t="shared" si="2"/>
        <v/>
      </c>
      <c r="N52" s="158"/>
      <c r="O52" s="159"/>
      <c r="P52" s="160"/>
      <c r="Q52" s="161" t="str">
        <f t="shared" si="3"/>
        <v/>
      </c>
      <c r="R52" s="164" t="str">
        <f t="shared" si="4"/>
        <v/>
      </c>
      <c r="S52" s="199" t="str">
        <f t="shared" si="5"/>
        <v/>
      </c>
      <c r="T52" s="158"/>
      <c r="U52" s="159"/>
      <c r="V52" s="160"/>
      <c r="W52" s="165" t="str">
        <f t="shared" si="6"/>
        <v/>
      </c>
      <c r="X52" s="164" t="str">
        <f t="shared" si="7"/>
        <v/>
      </c>
      <c r="Y52" s="163" t="str">
        <f t="shared" si="8"/>
        <v/>
      </c>
      <c r="Z52" s="166" t="str">
        <f t="shared" si="9"/>
        <v/>
      </c>
      <c r="AA52" s="200" t="str">
        <f t="shared" si="10"/>
        <v/>
      </c>
      <c r="AB52" s="201"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4" t="str">
        <f t="shared" si="1"/>
        <v/>
      </c>
      <c r="M53" s="199" t="str">
        <f t="shared" si="2"/>
        <v/>
      </c>
      <c r="N53" s="158"/>
      <c r="O53" s="159"/>
      <c r="P53" s="160"/>
      <c r="Q53" s="161" t="str">
        <f t="shared" si="3"/>
        <v/>
      </c>
      <c r="R53" s="164" t="str">
        <f t="shared" si="4"/>
        <v/>
      </c>
      <c r="S53" s="199" t="str">
        <f t="shared" si="5"/>
        <v/>
      </c>
      <c r="T53" s="158"/>
      <c r="U53" s="159"/>
      <c r="V53" s="160"/>
      <c r="W53" s="165" t="str">
        <f t="shared" si="6"/>
        <v/>
      </c>
      <c r="X53" s="164" t="str">
        <f t="shared" si="7"/>
        <v/>
      </c>
      <c r="Y53" s="163" t="str">
        <f t="shared" si="8"/>
        <v/>
      </c>
      <c r="Z53" s="166" t="str">
        <f t="shared" si="9"/>
        <v/>
      </c>
      <c r="AA53" s="200" t="str">
        <f t="shared" si="10"/>
        <v/>
      </c>
      <c r="AB53" s="201"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4" t="str">
        <f t="shared" si="1"/>
        <v/>
      </c>
      <c r="M54" s="199" t="str">
        <f t="shared" si="2"/>
        <v/>
      </c>
      <c r="N54" s="158"/>
      <c r="O54" s="159"/>
      <c r="P54" s="160"/>
      <c r="Q54" s="161" t="str">
        <f t="shared" si="3"/>
        <v/>
      </c>
      <c r="R54" s="164" t="str">
        <f t="shared" si="4"/>
        <v/>
      </c>
      <c r="S54" s="199" t="str">
        <f t="shared" si="5"/>
        <v/>
      </c>
      <c r="T54" s="158"/>
      <c r="U54" s="159"/>
      <c r="V54" s="160"/>
      <c r="W54" s="165" t="str">
        <f t="shared" si="6"/>
        <v/>
      </c>
      <c r="X54" s="164" t="str">
        <f t="shared" si="7"/>
        <v/>
      </c>
      <c r="Y54" s="163" t="str">
        <f t="shared" si="8"/>
        <v/>
      </c>
      <c r="Z54" s="166" t="str">
        <f t="shared" si="9"/>
        <v/>
      </c>
      <c r="AA54" s="200" t="str">
        <f t="shared" si="10"/>
        <v/>
      </c>
      <c r="AB54" s="201"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4" t="str">
        <f t="shared" si="1"/>
        <v/>
      </c>
      <c r="M55" s="199" t="str">
        <f t="shared" si="2"/>
        <v/>
      </c>
      <c r="N55" s="158"/>
      <c r="O55" s="159"/>
      <c r="P55" s="160"/>
      <c r="Q55" s="161" t="str">
        <f t="shared" si="3"/>
        <v/>
      </c>
      <c r="R55" s="164" t="str">
        <f t="shared" si="4"/>
        <v/>
      </c>
      <c r="S55" s="199" t="str">
        <f t="shared" si="5"/>
        <v/>
      </c>
      <c r="T55" s="158"/>
      <c r="U55" s="159"/>
      <c r="V55" s="160"/>
      <c r="W55" s="165" t="str">
        <f t="shared" si="6"/>
        <v/>
      </c>
      <c r="X55" s="164" t="str">
        <f t="shared" si="7"/>
        <v/>
      </c>
      <c r="Y55" s="163" t="str">
        <f t="shared" si="8"/>
        <v/>
      </c>
      <c r="Z55" s="166" t="str">
        <f t="shared" si="9"/>
        <v/>
      </c>
      <c r="AA55" s="200" t="str">
        <f t="shared" si="10"/>
        <v/>
      </c>
      <c r="AB55" s="201"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4" t="str">
        <f t="shared" si="1"/>
        <v/>
      </c>
      <c r="M56" s="199" t="str">
        <f t="shared" si="2"/>
        <v/>
      </c>
      <c r="N56" s="158"/>
      <c r="O56" s="159"/>
      <c r="P56" s="160"/>
      <c r="Q56" s="161" t="str">
        <f t="shared" si="3"/>
        <v/>
      </c>
      <c r="R56" s="164" t="str">
        <f t="shared" si="4"/>
        <v/>
      </c>
      <c r="S56" s="199" t="str">
        <f t="shared" si="5"/>
        <v/>
      </c>
      <c r="T56" s="158"/>
      <c r="U56" s="159"/>
      <c r="V56" s="160"/>
      <c r="W56" s="165" t="str">
        <f t="shared" si="6"/>
        <v/>
      </c>
      <c r="X56" s="164" t="str">
        <f t="shared" si="7"/>
        <v/>
      </c>
      <c r="Y56" s="163" t="str">
        <f t="shared" si="8"/>
        <v/>
      </c>
      <c r="Z56" s="166" t="str">
        <f t="shared" si="9"/>
        <v/>
      </c>
      <c r="AA56" s="200" t="str">
        <f t="shared" si="10"/>
        <v/>
      </c>
      <c r="AB56" s="201"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4" t="str">
        <f t="shared" si="1"/>
        <v/>
      </c>
      <c r="M57" s="199" t="str">
        <f t="shared" si="2"/>
        <v/>
      </c>
      <c r="N57" s="158"/>
      <c r="O57" s="159"/>
      <c r="P57" s="160"/>
      <c r="Q57" s="161" t="str">
        <f t="shared" si="3"/>
        <v/>
      </c>
      <c r="R57" s="164" t="str">
        <f t="shared" si="4"/>
        <v/>
      </c>
      <c r="S57" s="199" t="str">
        <f t="shared" si="5"/>
        <v/>
      </c>
      <c r="T57" s="158"/>
      <c r="U57" s="159"/>
      <c r="V57" s="160"/>
      <c r="W57" s="165" t="str">
        <f t="shared" si="6"/>
        <v/>
      </c>
      <c r="X57" s="164" t="str">
        <f t="shared" si="7"/>
        <v/>
      </c>
      <c r="Y57" s="163" t="str">
        <f t="shared" si="8"/>
        <v/>
      </c>
      <c r="Z57" s="166" t="str">
        <f t="shared" si="9"/>
        <v/>
      </c>
      <c r="AA57" s="200" t="str">
        <f t="shared" si="10"/>
        <v/>
      </c>
      <c r="AB57" s="201"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4" t="str">
        <f t="shared" si="1"/>
        <v/>
      </c>
      <c r="M58" s="199" t="str">
        <f t="shared" si="2"/>
        <v/>
      </c>
      <c r="N58" s="158"/>
      <c r="O58" s="159"/>
      <c r="P58" s="160"/>
      <c r="Q58" s="161" t="str">
        <f t="shared" si="3"/>
        <v/>
      </c>
      <c r="R58" s="164" t="str">
        <f t="shared" si="4"/>
        <v/>
      </c>
      <c r="S58" s="199" t="str">
        <f t="shared" si="5"/>
        <v/>
      </c>
      <c r="T58" s="158"/>
      <c r="U58" s="159"/>
      <c r="V58" s="160"/>
      <c r="W58" s="165" t="str">
        <f t="shared" si="6"/>
        <v/>
      </c>
      <c r="X58" s="164" t="str">
        <f t="shared" si="7"/>
        <v/>
      </c>
      <c r="Y58" s="163" t="str">
        <f t="shared" si="8"/>
        <v/>
      </c>
      <c r="Z58" s="166" t="str">
        <f t="shared" si="9"/>
        <v/>
      </c>
      <c r="AA58" s="200" t="str">
        <f t="shared" si="10"/>
        <v/>
      </c>
      <c r="AB58" s="201"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4" t="str">
        <f t="shared" si="1"/>
        <v/>
      </c>
      <c r="M59" s="199" t="str">
        <f t="shared" si="2"/>
        <v/>
      </c>
      <c r="N59" s="158"/>
      <c r="O59" s="159"/>
      <c r="P59" s="160"/>
      <c r="Q59" s="161" t="str">
        <f t="shared" si="3"/>
        <v/>
      </c>
      <c r="R59" s="164" t="str">
        <f t="shared" si="4"/>
        <v/>
      </c>
      <c r="S59" s="199" t="str">
        <f t="shared" si="5"/>
        <v/>
      </c>
      <c r="T59" s="158"/>
      <c r="U59" s="159"/>
      <c r="V59" s="160"/>
      <c r="W59" s="165" t="str">
        <f t="shared" si="6"/>
        <v/>
      </c>
      <c r="X59" s="164" t="str">
        <f t="shared" si="7"/>
        <v/>
      </c>
      <c r="Y59" s="163" t="str">
        <f t="shared" si="8"/>
        <v/>
      </c>
      <c r="Z59" s="166" t="str">
        <f t="shared" si="9"/>
        <v/>
      </c>
      <c r="AA59" s="200" t="str">
        <f t="shared" si="10"/>
        <v/>
      </c>
      <c r="AB59" s="201"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4" t="str">
        <f t="shared" si="1"/>
        <v/>
      </c>
      <c r="M60" s="199" t="str">
        <f t="shared" si="2"/>
        <v/>
      </c>
      <c r="N60" s="158"/>
      <c r="O60" s="159"/>
      <c r="P60" s="160"/>
      <c r="Q60" s="161" t="str">
        <f t="shared" si="3"/>
        <v/>
      </c>
      <c r="R60" s="164" t="str">
        <f t="shared" si="4"/>
        <v/>
      </c>
      <c r="S60" s="199" t="str">
        <f t="shared" si="5"/>
        <v/>
      </c>
      <c r="T60" s="158"/>
      <c r="U60" s="159"/>
      <c r="V60" s="160"/>
      <c r="W60" s="165" t="str">
        <f t="shared" si="6"/>
        <v/>
      </c>
      <c r="X60" s="164" t="str">
        <f t="shared" si="7"/>
        <v/>
      </c>
      <c r="Y60" s="163" t="str">
        <f t="shared" si="8"/>
        <v/>
      </c>
      <c r="Z60" s="166" t="str">
        <f t="shared" si="9"/>
        <v/>
      </c>
      <c r="AA60" s="200" t="str">
        <f t="shared" si="10"/>
        <v/>
      </c>
      <c r="AB60" s="201"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4" t="str">
        <f t="shared" si="1"/>
        <v/>
      </c>
      <c r="M61" s="199" t="str">
        <f t="shared" si="2"/>
        <v/>
      </c>
      <c r="N61" s="158"/>
      <c r="O61" s="159"/>
      <c r="P61" s="160"/>
      <c r="Q61" s="161" t="str">
        <f t="shared" si="3"/>
        <v/>
      </c>
      <c r="R61" s="164" t="str">
        <f t="shared" si="4"/>
        <v/>
      </c>
      <c r="S61" s="199" t="str">
        <f t="shared" si="5"/>
        <v/>
      </c>
      <c r="T61" s="158"/>
      <c r="U61" s="159"/>
      <c r="V61" s="160"/>
      <c r="W61" s="165" t="str">
        <f t="shared" si="6"/>
        <v/>
      </c>
      <c r="X61" s="164" t="str">
        <f t="shared" si="7"/>
        <v/>
      </c>
      <c r="Y61" s="163" t="str">
        <f t="shared" si="8"/>
        <v/>
      </c>
      <c r="Z61" s="166" t="str">
        <f t="shared" si="9"/>
        <v/>
      </c>
      <c r="AA61" s="200" t="str">
        <f t="shared" si="10"/>
        <v/>
      </c>
      <c r="AB61" s="201"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4" t="str">
        <f t="shared" si="1"/>
        <v/>
      </c>
      <c r="M62" s="199" t="str">
        <f t="shared" si="2"/>
        <v/>
      </c>
      <c r="N62" s="158"/>
      <c r="O62" s="159"/>
      <c r="P62" s="160"/>
      <c r="Q62" s="161" t="str">
        <f t="shared" si="3"/>
        <v/>
      </c>
      <c r="R62" s="164" t="str">
        <f t="shared" si="4"/>
        <v/>
      </c>
      <c r="S62" s="199" t="str">
        <f t="shared" si="5"/>
        <v/>
      </c>
      <c r="T62" s="158"/>
      <c r="U62" s="159"/>
      <c r="V62" s="160"/>
      <c r="W62" s="165" t="str">
        <f t="shared" si="6"/>
        <v/>
      </c>
      <c r="X62" s="164" t="str">
        <f t="shared" si="7"/>
        <v/>
      </c>
      <c r="Y62" s="163" t="str">
        <f t="shared" si="8"/>
        <v/>
      </c>
      <c r="Z62" s="166" t="str">
        <f t="shared" si="9"/>
        <v/>
      </c>
      <c r="AA62" s="200" t="str">
        <f t="shared" si="10"/>
        <v/>
      </c>
      <c r="AB62" s="201"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4" t="str">
        <f t="shared" si="1"/>
        <v/>
      </c>
      <c r="M63" s="199" t="str">
        <f t="shared" si="2"/>
        <v/>
      </c>
      <c r="N63" s="158"/>
      <c r="O63" s="159"/>
      <c r="P63" s="160"/>
      <c r="Q63" s="161" t="str">
        <f t="shared" si="3"/>
        <v/>
      </c>
      <c r="R63" s="164" t="str">
        <f t="shared" si="4"/>
        <v/>
      </c>
      <c r="S63" s="199" t="str">
        <f t="shared" si="5"/>
        <v/>
      </c>
      <c r="T63" s="158"/>
      <c r="U63" s="159"/>
      <c r="V63" s="160"/>
      <c r="W63" s="165" t="str">
        <f t="shared" si="6"/>
        <v/>
      </c>
      <c r="X63" s="164" t="str">
        <f t="shared" si="7"/>
        <v/>
      </c>
      <c r="Y63" s="163" t="str">
        <f t="shared" si="8"/>
        <v/>
      </c>
      <c r="Z63" s="166" t="str">
        <f t="shared" si="9"/>
        <v/>
      </c>
      <c r="AA63" s="200" t="str">
        <f t="shared" si="10"/>
        <v/>
      </c>
      <c r="AB63" s="201"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4" t="str">
        <f t="shared" si="1"/>
        <v/>
      </c>
      <c r="M64" s="199" t="str">
        <f t="shared" si="2"/>
        <v/>
      </c>
      <c r="N64" s="158"/>
      <c r="O64" s="159"/>
      <c r="P64" s="160"/>
      <c r="Q64" s="161" t="str">
        <f t="shared" si="3"/>
        <v/>
      </c>
      <c r="R64" s="164" t="str">
        <f t="shared" si="4"/>
        <v/>
      </c>
      <c r="S64" s="199" t="str">
        <f t="shared" si="5"/>
        <v/>
      </c>
      <c r="T64" s="158"/>
      <c r="U64" s="159"/>
      <c r="V64" s="160"/>
      <c r="W64" s="165" t="str">
        <f t="shared" si="6"/>
        <v/>
      </c>
      <c r="X64" s="164" t="str">
        <f t="shared" si="7"/>
        <v/>
      </c>
      <c r="Y64" s="163" t="str">
        <f t="shared" si="8"/>
        <v/>
      </c>
      <c r="Z64" s="166" t="str">
        <f t="shared" si="9"/>
        <v/>
      </c>
      <c r="AA64" s="200" t="str">
        <f t="shared" si="10"/>
        <v/>
      </c>
      <c r="AB64" s="201"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4" t="str">
        <f t="shared" si="1"/>
        <v/>
      </c>
      <c r="M65" s="199" t="str">
        <f t="shared" si="2"/>
        <v/>
      </c>
      <c r="N65" s="158"/>
      <c r="O65" s="159"/>
      <c r="P65" s="160"/>
      <c r="Q65" s="161" t="str">
        <f t="shared" si="3"/>
        <v/>
      </c>
      <c r="R65" s="164" t="str">
        <f t="shared" si="4"/>
        <v/>
      </c>
      <c r="S65" s="199" t="str">
        <f t="shared" si="5"/>
        <v/>
      </c>
      <c r="T65" s="158"/>
      <c r="U65" s="159"/>
      <c r="V65" s="160"/>
      <c r="W65" s="165" t="str">
        <f t="shared" si="6"/>
        <v/>
      </c>
      <c r="X65" s="164" t="str">
        <f t="shared" si="7"/>
        <v/>
      </c>
      <c r="Y65" s="163" t="str">
        <f t="shared" si="8"/>
        <v/>
      </c>
      <c r="Z65" s="166" t="str">
        <f t="shared" si="9"/>
        <v/>
      </c>
      <c r="AA65" s="200" t="str">
        <f t="shared" si="10"/>
        <v/>
      </c>
      <c r="AB65" s="201"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4" t="str">
        <f t="shared" si="1"/>
        <v/>
      </c>
      <c r="M66" s="199" t="str">
        <f t="shared" si="2"/>
        <v/>
      </c>
      <c r="N66" s="158"/>
      <c r="O66" s="159"/>
      <c r="P66" s="160"/>
      <c r="Q66" s="161" t="str">
        <f t="shared" si="3"/>
        <v/>
      </c>
      <c r="R66" s="164" t="str">
        <f t="shared" si="4"/>
        <v/>
      </c>
      <c r="S66" s="199" t="str">
        <f t="shared" si="5"/>
        <v/>
      </c>
      <c r="T66" s="158"/>
      <c r="U66" s="159"/>
      <c r="V66" s="160"/>
      <c r="W66" s="165" t="str">
        <f t="shared" si="6"/>
        <v/>
      </c>
      <c r="X66" s="164" t="str">
        <f t="shared" si="7"/>
        <v/>
      </c>
      <c r="Y66" s="163" t="str">
        <f t="shared" si="8"/>
        <v/>
      </c>
      <c r="Z66" s="166" t="str">
        <f t="shared" si="9"/>
        <v/>
      </c>
      <c r="AA66" s="200" t="str">
        <f t="shared" si="10"/>
        <v/>
      </c>
      <c r="AB66" s="201"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4" t="str">
        <f t="shared" si="1"/>
        <v/>
      </c>
      <c r="M67" s="199" t="str">
        <f t="shared" si="2"/>
        <v/>
      </c>
      <c r="N67" s="171"/>
      <c r="O67" s="172"/>
      <c r="P67" s="173"/>
      <c r="Q67" s="161" t="str">
        <f t="shared" si="3"/>
        <v/>
      </c>
      <c r="R67" s="164" t="str">
        <f t="shared" si="4"/>
        <v/>
      </c>
      <c r="S67" s="199" t="str">
        <f t="shared" si="5"/>
        <v/>
      </c>
      <c r="T67" s="171"/>
      <c r="U67" s="172"/>
      <c r="V67" s="173"/>
      <c r="W67" s="165" t="str">
        <f t="shared" si="6"/>
        <v/>
      </c>
      <c r="X67" s="164" t="str">
        <f t="shared" si="7"/>
        <v/>
      </c>
      <c r="Y67" s="163" t="str">
        <f t="shared" si="8"/>
        <v/>
      </c>
      <c r="Z67" s="166" t="str">
        <f t="shared" si="9"/>
        <v/>
      </c>
      <c r="AA67" s="200" t="str">
        <f t="shared" si="10"/>
        <v/>
      </c>
      <c r="AB67" s="201"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C0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40</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SCIENCE</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50" t="str">
        <f t="shared" ref="L18:L67" si="1">IF(COUNT(F18:J18)=0,"",IFERROR(K18/$K$15*$L$15,""))</f>
        <v/>
      </c>
      <c r="M18" s="149" t="str">
        <f t="shared" ref="M18:M67" si="2">IF(L18="","",L18*$M$15)</f>
        <v/>
      </c>
      <c r="N18" s="144"/>
      <c r="O18" s="145"/>
      <c r="P18" s="146"/>
      <c r="Q18" s="147" t="str">
        <f t="shared" ref="Q18:Q67" si="3">IF(COUNT(N18:P18)=0,"",SUM(N18:P18))</f>
        <v/>
      </c>
      <c r="R18" s="150" t="str">
        <f t="shared" ref="R18:R67" si="4">IF(COUNT(N18:P18)=0,"",IFERROR(Q18/$Q$15*$R$15,""))</f>
        <v/>
      </c>
      <c r="S18" s="149"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55" t="str">
        <f t="shared" ref="AA18:AA67" si="10">IF(Z18="","",Z18*$AA$15)</f>
        <v/>
      </c>
      <c r="AB18" s="156"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4" t="str">
        <f t="shared" si="1"/>
        <v/>
      </c>
      <c r="M19" s="163" t="str">
        <f t="shared" si="2"/>
        <v/>
      </c>
      <c r="N19" s="158"/>
      <c r="O19" s="159"/>
      <c r="P19" s="160"/>
      <c r="Q19" s="161" t="str">
        <f t="shared" si="3"/>
        <v/>
      </c>
      <c r="R19" s="164" t="str">
        <f t="shared" si="4"/>
        <v/>
      </c>
      <c r="S19" s="163" t="str">
        <f t="shared" si="5"/>
        <v/>
      </c>
      <c r="T19" s="158"/>
      <c r="U19" s="159"/>
      <c r="V19" s="160"/>
      <c r="W19" s="165" t="str">
        <f t="shared" si="6"/>
        <v/>
      </c>
      <c r="X19" s="164" t="str">
        <f t="shared" si="7"/>
        <v/>
      </c>
      <c r="Y19" s="163" t="str">
        <f t="shared" si="8"/>
        <v/>
      </c>
      <c r="Z19" s="166" t="str">
        <f t="shared" si="9"/>
        <v/>
      </c>
      <c r="AA19" s="167" t="str">
        <f t="shared" si="10"/>
        <v/>
      </c>
      <c r="AB19" s="168"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4" t="str">
        <f t="shared" si="1"/>
        <v/>
      </c>
      <c r="M20" s="163" t="str">
        <f t="shared" si="2"/>
        <v/>
      </c>
      <c r="N20" s="158"/>
      <c r="O20" s="159"/>
      <c r="P20" s="160"/>
      <c r="Q20" s="161" t="str">
        <f t="shared" si="3"/>
        <v/>
      </c>
      <c r="R20" s="164" t="str">
        <f t="shared" si="4"/>
        <v/>
      </c>
      <c r="S20" s="163" t="str">
        <f t="shared" si="5"/>
        <v/>
      </c>
      <c r="T20" s="158"/>
      <c r="U20" s="159"/>
      <c r="V20" s="160"/>
      <c r="W20" s="165" t="str">
        <f t="shared" si="6"/>
        <v/>
      </c>
      <c r="X20" s="164" t="str">
        <f t="shared" si="7"/>
        <v/>
      </c>
      <c r="Y20" s="163" t="str">
        <f t="shared" si="8"/>
        <v/>
      </c>
      <c r="Z20" s="166" t="str">
        <f t="shared" si="9"/>
        <v/>
      </c>
      <c r="AA20" s="167" t="str">
        <f t="shared" si="10"/>
        <v/>
      </c>
      <c r="AB20" s="168"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4" t="str">
        <f t="shared" si="1"/>
        <v/>
      </c>
      <c r="M21" s="163" t="str">
        <f t="shared" si="2"/>
        <v/>
      </c>
      <c r="N21" s="158"/>
      <c r="O21" s="159"/>
      <c r="P21" s="160"/>
      <c r="Q21" s="161" t="str">
        <f t="shared" si="3"/>
        <v/>
      </c>
      <c r="R21" s="164" t="str">
        <f t="shared" si="4"/>
        <v/>
      </c>
      <c r="S21" s="163" t="str">
        <f t="shared" si="5"/>
        <v/>
      </c>
      <c r="T21" s="158"/>
      <c r="U21" s="159"/>
      <c r="V21" s="160"/>
      <c r="W21" s="165" t="str">
        <f t="shared" si="6"/>
        <v/>
      </c>
      <c r="X21" s="164" t="str">
        <f t="shared" si="7"/>
        <v/>
      </c>
      <c r="Y21" s="163" t="str">
        <f t="shared" si="8"/>
        <v/>
      </c>
      <c r="Z21" s="166" t="str">
        <f t="shared" si="9"/>
        <v/>
      </c>
      <c r="AA21" s="167" t="str">
        <f t="shared" si="10"/>
        <v/>
      </c>
      <c r="AB21" s="168"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4" t="str">
        <f t="shared" si="1"/>
        <v/>
      </c>
      <c r="M22" s="163" t="str">
        <f t="shared" si="2"/>
        <v/>
      </c>
      <c r="N22" s="158"/>
      <c r="O22" s="159"/>
      <c r="P22" s="160"/>
      <c r="Q22" s="161" t="str">
        <f t="shared" si="3"/>
        <v/>
      </c>
      <c r="R22" s="164" t="str">
        <f t="shared" si="4"/>
        <v/>
      </c>
      <c r="S22" s="163" t="str">
        <f t="shared" si="5"/>
        <v/>
      </c>
      <c r="T22" s="158"/>
      <c r="U22" s="159"/>
      <c r="V22" s="160"/>
      <c r="W22" s="165" t="str">
        <f t="shared" si="6"/>
        <v/>
      </c>
      <c r="X22" s="164" t="str">
        <f t="shared" si="7"/>
        <v/>
      </c>
      <c r="Y22" s="163" t="str">
        <f t="shared" si="8"/>
        <v/>
      </c>
      <c r="Z22" s="166" t="str">
        <f t="shared" si="9"/>
        <v/>
      </c>
      <c r="AA22" s="167" t="str">
        <f t="shared" si="10"/>
        <v/>
      </c>
      <c r="AB22" s="168"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4" t="str">
        <f t="shared" si="1"/>
        <v/>
      </c>
      <c r="M23" s="163" t="str">
        <f t="shared" si="2"/>
        <v/>
      </c>
      <c r="N23" s="158"/>
      <c r="O23" s="159"/>
      <c r="P23" s="160"/>
      <c r="Q23" s="161" t="str">
        <f t="shared" si="3"/>
        <v/>
      </c>
      <c r="R23" s="164" t="str">
        <f t="shared" si="4"/>
        <v/>
      </c>
      <c r="S23" s="163" t="str">
        <f t="shared" si="5"/>
        <v/>
      </c>
      <c r="T23" s="158"/>
      <c r="U23" s="159"/>
      <c r="V23" s="160"/>
      <c r="W23" s="165" t="str">
        <f t="shared" si="6"/>
        <v/>
      </c>
      <c r="X23" s="164" t="str">
        <f t="shared" si="7"/>
        <v/>
      </c>
      <c r="Y23" s="163" t="str">
        <f t="shared" si="8"/>
        <v/>
      </c>
      <c r="Z23" s="166" t="str">
        <f t="shared" si="9"/>
        <v/>
      </c>
      <c r="AA23" s="167" t="str">
        <f t="shared" si="10"/>
        <v/>
      </c>
      <c r="AB23" s="168"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4" t="str">
        <f t="shared" si="1"/>
        <v/>
      </c>
      <c r="M24" s="163" t="str">
        <f t="shared" si="2"/>
        <v/>
      </c>
      <c r="N24" s="158"/>
      <c r="O24" s="159"/>
      <c r="P24" s="160"/>
      <c r="Q24" s="161" t="str">
        <f t="shared" si="3"/>
        <v/>
      </c>
      <c r="R24" s="164" t="str">
        <f t="shared" si="4"/>
        <v/>
      </c>
      <c r="S24" s="163" t="str">
        <f t="shared" si="5"/>
        <v/>
      </c>
      <c r="T24" s="158"/>
      <c r="U24" s="159"/>
      <c r="V24" s="160"/>
      <c r="W24" s="165" t="str">
        <f t="shared" si="6"/>
        <v/>
      </c>
      <c r="X24" s="164" t="str">
        <f t="shared" si="7"/>
        <v/>
      </c>
      <c r="Y24" s="163" t="str">
        <f t="shared" si="8"/>
        <v/>
      </c>
      <c r="Z24" s="166" t="str">
        <f t="shared" si="9"/>
        <v/>
      </c>
      <c r="AA24" s="167" t="str">
        <f t="shared" si="10"/>
        <v/>
      </c>
      <c r="AB24" s="168"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4" t="str">
        <f t="shared" si="1"/>
        <v/>
      </c>
      <c r="M25" s="163" t="str">
        <f t="shared" si="2"/>
        <v/>
      </c>
      <c r="N25" s="158"/>
      <c r="O25" s="159"/>
      <c r="P25" s="160"/>
      <c r="Q25" s="161" t="str">
        <f t="shared" si="3"/>
        <v/>
      </c>
      <c r="R25" s="164" t="str">
        <f t="shared" si="4"/>
        <v/>
      </c>
      <c r="S25" s="163" t="str">
        <f t="shared" si="5"/>
        <v/>
      </c>
      <c r="T25" s="158"/>
      <c r="U25" s="159"/>
      <c r="V25" s="160"/>
      <c r="W25" s="165" t="str">
        <f t="shared" si="6"/>
        <v/>
      </c>
      <c r="X25" s="164" t="str">
        <f t="shared" si="7"/>
        <v/>
      </c>
      <c r="Y25" s="163" t="str">
        <f t="shared" si="8"/>
        <v/>
      </c>
      <c r="Z25" s="166" t="str">
        <f t="shared" si="9"/>
        <v/>
      </c>
      <c r="AA25" s="167" t="str">
        <f t="shared" si="10"/>
        <v/>
      </c>
      <c r="AB25" s="168"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4" t="str">
        <f t="shared" si="1"/>
        <v/>
      </c>
      <c r="M26" s="163" t="str">
        <f t="shared" si="2"/>
        <v/>
      </c>
      <c r="N26" s="158"/>
      <c r="O26" s="159"/>
      <c r="P26" s="160"/>
      <c r="Q26" s="161" t="str">
        <f t="shared" si="3"/>
        <v/>
      </c>
      <c r="R26" s="164" t="str">
        <f t="shared" si="4"/>
        <v/>
      </c>
      <c r="S26" s="163" t="str">
        <f t="shared" si="5"/>
        <v/>
      </c>
      <c r="T26" s="158"/>
      <c r="U26" s="159"/>
      <c r="V26" s="160"/>
      <c r="W26" s="165" t="str">
        <f t="shared" si="6"/>
        <v/>
      </c>
      <c r="X26" s="164" t="str">
        <f t="shared" si="7"/>
        <v/>
      </c>
      <c r="Y26" s="163" t="str">
        <f t="shared" si="8"/>
        <v/>
      </c>
      <c r="Z26" s="166" t="str">
        <f t="shared" si="9"/>
        <v/>
      </c>
      <c r="AA26" s="167" t="str">
        <f t="shared" si="10"/>
        <v/>
      </c>
      <c r="AB26" s="168"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4" t="str">
        <f t="shared" si="1"/>
        <v/>
      </c>
      <c r="M27" s="163" t="str">
        <f t="shared" si="2"/>
        <v/>
      </c>
      <c r="N27" s="158"/>
      <c r="O27" s="159"/>
      <c r="P27" s="160"/>
      <c r="Q27" s="161" t="str">
        <f t="shared" si="3"/>
        <v/>
      </c>
      <c r="R27" s="164" t="str">
        <f t="shared" si="4"/>
        <v/>
      </c>
      <c r="S27" s="163" t="str">
        <f t="shared" si="5"/>
        <v/>
      </c>
      <c r="T27" s="158"/>
      <c r="U27" s="159"/>
      <c r="V27" s="160"/>
      <c r="W27" s="165" t="str">
        <f t="shared" si="6"/>
        <v/>
      </c>
      <c r="X27" s="164" t="str">
        <f t="shared" si="7"/>
        <v/>
      </c>
      <c r="Y27" s="163" t="str">
        <f t="shared" si="8"/>
        <v/>
      </c>
      <c r="Z27" s="166" t="str">
        <f t="shared" si="9"/>
        <v/>
      </c>
      <c r="AA27" s="167" t="str">
        <f t="shared" si="10"/>
        <v/>
      </c>
      <c r="AB27" s="168"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4" t="str">
        <f t="shared" si="1"/>
        <v/>
      </c>
      <c r="M28" s="163" t="str">
        <f t="shared" si="2"/>
        <v/>
      </c>
      <c r="N28" s="158"/>
      <c r="O28" s="159"/>
      <c r="P28" s="160"/>
      <c r="Q28" s="161" t="str">
        <f t="shared" si="3"/>
        <v/>
      </c>
      <c r="R28" s="164" t="str">
        <f t="shared" si="4"/>
        <v/>
      </c>
      <c r="S28" s="163" t="str">
        <f t="shared" si="5"/>
        <v/>
      </c>
      <c r="T28" s="158"/>
      <c r="U28" s="159"/>
      <c r="V28" s="160"/>
      <c r="W28" s="165" t="str">
        <f t="shared" si="6"/>
        <v/>
      </c>
      <c r="X28" s="164" t="str">
        <f t="shared" si="7"/>
        <v/>
      </c>
      <c r="Y28" s="163" t="str">
        <f t="shared" si="8"/>
        <v/>
      </c>
      <c r="Z28" s="166" t="str">
        <f t="shared" si="9"/>
        <v/>
      </c>
      <c r="AA28" s="167" t="str">
        <f t="shared" si="10"/>
        <v/>
      </c>
      <c r="AB28" s="168"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4" t="str">
        <f t="shared" si="1"/>
        <v/>
      </c>
      <c r="M29" s="163" t="str">
        <f t="shared" si="2"/>
        <v/>
      </c>
      <c r="N29" s="158"/>
      <c r="O29" s="159"/>
      <c r="P29" s="160"/>
      <c r="Q29" s="161" t="str">
        <f t="shared" si="3"/>
        <v/>
      </c>
      <c r="R29" s="164" t="str">
        <f t="shared" si="4"/>
        <v/>
      </c>
      <c r="S29" s="163" t="str">
        <f t="shared" si="5"/>
        <v/>
      </c>
      <c r="T29" s="158"/>
      <c r="U29" s="159"/>
      <c r="V29" s="160"/>
      <c r="W29" s="165" t="str">
        <f t="shared" si="6"/>
        <v/>
      </c>
      <c r="X29" s="164" t="str">
        <f t="shared" si="7"/>
        <v/>
      </c>
      <c r="Y29" s="163" t="str">
        <f t="shared" si="8"/>
        <v/>
      </c>
      <c r="Z29" s="166" t="str">
        <f t="shared" si="9"/>
        <v/>
      </c>
      <c r="AA29" s="167" t="str">
        <f t="shared" si="10"/>
        <v/>
      </c>
      <c r="AB29" s="168"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4" t="str">
        <f t="shared" si="1"/>
        <v/>
      </c>
      <c r="M30" s="163" t="str">
        <f t="shared" si="2"/>
        <v/>
      </c>
      <c r="N30" s="158"/>
      <c r="O30" s="159"/>
      <c r="P30" s="160"/>
      <c r="Q30" s="161" t="str">
        <f t="shared" si="3"/>
        <v/>
      </c>
      <c r="R30" s="164" t="str">
        <f t="shared" si="4"/>
        <v/>
      </c>
      <c r="S30" s="163" t="str">
        <f t="shared" si="5"/>
        <v/>
      </c>
      <c r="T30" s="158"/>
      <c r="U30" s="159"/>
      <c r="V30" s="160"/>
      <c r="W30" s="165" t="str">
        <f t="shared" si="6"/>
        <v/>
      </c>
      <c r="X30" s="164" t="str">
        <f t="shared" si="7"/>
        <v/>
      </c>
      <c r="Y30" s="163" t="str">
        <f t="shared" si="8"/>
        <v/>
      </c>
      <c r="Z30" s="166" t="str">
        <f t="shared" si="9"/>
        <v/>
      </c>
      <c r="AA30" s="167" t="str">
        <f t="shared" si="10"/>
        <v/>
      </c>
      <c r="AB30" s="168"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4" t="str">
        <f t="shared" si="1"/>
        <v/>
      </c>
      <c r="M31" s="163" t="str">
        <f t="shared" si="2"/>
        <v/>
      </c>
      <c r="N31" s="158"/>
      <c r="O31" s="159"/>
      <c r="P31" s="160"/>
      <c r="Q31" s="161" t="str">
        <f t="shared" si="3"/>
        <v/>
      </c>
      <c r="R31" s="164" t="str">
        <f t="shared" si="4"/>
        <v/>
      </c>
      <c r="S31" s="163" t="str">
        <f t="shared" si="5"/>
        <v/>
      </c>
      <c r="T31" s="158"/>
      <c r="U31" s="159"/>
      <c r="V31" s="160"/>
      <c r="W31" s="165" t="str">
        <f t="shared" si="6"/>
        <v/>
      </c>
      <c r="X31" s="164" t="str">
        <f t="shared" si="7"/>
        <v/>
      </c>
      <c r="Y31" s="163" t="str">
        <f t="shared" si="8"/>
        <v/>
      </c>
      <c r="Z31" s="166" t="str">
        <f t="shared" si="9"/>
        <v/>
      </c>
      <c r="AA31" s="167" t="str">
        <f t="shared" si="10"/>
        <v/>
      </c>
      <c r="AB31" s="168"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4" t="str">
        <f t="shared" si="1"/>
        <v/>
      </c>
      <c r="M32" s="163" t="str">
        <f t="shared" si="2"/>
        <v/>
      </c>
      <c r="N32" s="158"/>
      <c r="O32" s="159"/>
      <c r="P32" s="160"/>
      <c r="Q32" s="161" t="str">
        <f t="shared" si="3"/>
        <v/>
      </c>
      <c r="R32" s="164" t="str">
        <f t="shared" si="4"/>
        <v/>
      </c>
      <c r="S32" s="163" t="str">
        <f t="shared" si="5"/>
        <v/>
      </c>
      <c r="T32" s="158"/>
      <c r="U32" s="159"/>
      <c r="V32" s="160"/>
      <c r="W32" s="165" t="str">
        <f t="shared" si="6"/>
        <v/>
      </c>
      <c r="X32" s="164" t="str">
        <f t="shared" si="7"/>
        <v/>
      </c>
      <c r="Y32" s="163" t="str">
        <f t="shared" si="8"/>
        <v/>
      </c>
      <c r="Z32" s="166" t="str">
        <f t="shared" si="9"/>
        <v/>
      </c>
      <c r="AA32" s="167" t="str">
        <f t="shared" si="10"/>
        <v/>
      </c>
      <c r="AB32" s="168"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4" t="str">
        <f t="shared" si="1"/>
        <v/>
      </c>
      <c r="M33" s="163" t="str">
        <f t="shared" si="2"/>
        <v/>
      </c>
      <c r="N33" s="158"/>
      <c r="O33" s="159"/>
      <c r="P33" s="160"/>
      <c r="Q33" s="161" t="str">
        <f t="shared" si="3"/>
        <v/>
      </c>
      <c r="R33" s="164" t="str">
        <f t="shared" si="4"/>
        <v/>
      </c>
      <c r="S33" s="163" t="str">
        <f t="shared" si="5"/>
        <v/>
      </c>
      <c r="T33" s="158"/>
      <c r="U33" s="159"/>
      <c r="V33" s="160"/>
      <c r="W33" s="165" t="str">
        <f t="shared" si="6"/>
        <v/>
      </c>
      <c r="X33" s="164" t="str">
        <f t="shared" si="7"/>
        <v/>
      </c>
      <c r="Y33" s="163" t="str">
        <f t="shared" si="8"/>
        <v/>
      </c>
      <c r="Z33" s="166" t="str">
        <f t="shared" si="9"/>
        <v/>
      </c>
      <c r="AA33" s="167" t="str">
        <f t="shared" si="10"/>
        <v/>
      </c>
      <c r="AB33" s="168"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4" t="str">
        <f t="shared" si="1"/>
        <v/>
      </c>
      <c r="M34" s="163" t="str">
        <f t="shared" si="2"/>
        <v/>
      </c>
      <c r="N34" s="158"/>
      <c r="O34" s="159"/>
      <c r="P34" s="160"/>
      <c r="Q34" s="161" t="str">
        <f t="shared" si="3"/>
        <v/>
      </c>
      <c r="R34" s="164" t="str">
        <f t="shared" si="4"/>
        <v/>
      </c>
      <c r="S34" s="163" t="str">
        <f t="shared" si="5"/>
        <v/>
      </c>
      <c r="T34" s="158"/>
      <c r="U34" s="159"/>
      <c r="V34" s="160"/>
      <c r="W34" s="165" t="str">
        <f t="shared" si="6"/>
        <v/>
      </c>
      <c r="X34" s="164" t="str">
        <f t="shared" si="7"/>
        <v/>
      </c>
      <c r="Y34" s="163" t="str">
        <f t="shared" si="8"/>
        <v/>
      </c>
      <c r="Z34" s="166" t="str">
        <f t="shared" si="9"/>
        <v/>
      </c>
      <c r="AA34" s="167" t="str">
        <f t="shared" si="10"/>
        <v/>
      </c>
      <c r="AB34" s="168"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4" t="str">
        <f t="shared" si="1"/>
        <v/>
      </c>
      <c r="M35" s="163" t="str">
        <f t="shared" si="2"/>
        <v/>
      </c>
      <c r="N35" s="158"/>
      <c r="O35" s="159"/>
      <c r="P35" s="160"/>
      <c r="Q35" s="161" t="str">
        <f t="shared" si="3"/>
        <v/>
      </c>
      <c r="R35" s="164" t="str">
        <f t="shared" si="4"/>
        <v/>
      </c>
      <c r="S35" s="163" t="str">
        <f t="shared" si="5"/>
        <v/>
      </c>
      <c r="T35" s="158"/>
      <c r="U35" s="159"/>
      <c r="V35" s="160"/>
      <c r="W35" s="165" t="str">
        <f t="shared" si="6"/>
        <v/>
      </c>
      <c r="X35" s="164" t="str">
        <f t="shared" si="7"/>
        <v/>
      </c>
      <c r="Y35" s="163" t="str">
        <f t="shared" si="8"/>
        <v/>
      </c>
      <c r="Z35" s="166" t="str">
        <f t="shared" si="9"/>
        <v/>
      </c>
      <c r="AA35" s="167" t="str">
        <f t="shared" si="10"/>
        <v/>
      </c>
      <c r="AB35" s="168"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4" t="str">
        <f t="shared" si="1"/>
        <v/>
      </c>
      <c r="M36" s="163" t="str">
        <f t="shared" si="2"/>
        <v/>
      </c>
      <c r="N36" s="158"/>
      <c r="O36" s="159"/>
      <c r="P36" s="160"/>
      <c r="Q36" s="161" t="str">
        <f t="shared" si="3"/>
        <v/>
      </c>
      <c r="R36" s="164" t="str">
        <f t="shared" si="4"/>
        <v/>
      </c>
      <c r="S36" s="163" t="str">
        <f t="shared" si="5"/>
        <v/>
      </c>
      <c r="T36" s="158"/>
      <c r="U36" s="159"/>
      <c r="V36" s="160"/>
      <c r="W36" s="165" t="str">
        <f t="shared" si="6"/>
        <v/>
      </c>
      <c r="X36" s="164" t="str">
        <f t="shared" si="7"/>
        <v/>
      </c>
      <c r="Y36" s="163" t="str">
        <f t="shared" si="8"/>
        <v/>
      </c>
      <c r="Z36" s="166" t="str">
        <f t="shared" si="9"/>
        <v/>
      </c>
      <c r="AA36" s="167" t="str">
        <f t="shared" si="10"/>
        <v/>
      </c>
      <c r="AB36" s="168"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4" t="str">
        <f t="shared" si="1"/>
        <v/>
      </c>
      <c r="M37" s="163" t="str">
        <f t="shared" si="2"/>
        <v/>
      </c>
      <c r="N37" s="158"/>
      <c r="O37" s="159"/>
      <c r="P37" s="160"/>
      <c r="Q37" s="161" t="str">
        <f t="shared" si="3"/>
        <v/>
      </c>
      <c r="R37" s="164" t="str">
        <f t="shared" si="4"/>
        <v/>
      </c>
      <c r="S37" s="163" t="str">
        <f t="shared" si="5"/>
        <v/>
      </c>
      <c r="T37" s="158"/>
      <c r="U37" s="159"/>
      <c r="V37" s="160"/>
      <c r="W37" s="165" t="str">
        <f t="shared" si="6"/>
        <v/>
      </c>
      <c r="X37" s="164" t="str">
        <f t="shared" si="7"/>
        <v/>
      </c>
      <c r="Y37" s="163" t="str">
        <f t="shared" si="8"/>
        <v/>
      </c>
      <c r="Z37" s="166" t="str">
        <f t="shared" si="9"/>
        <v/>
      </c>
      <c r="AA37" s="167" t="str">
        <f t="shared" si="10"/>
        <v/>
      </c>
      <c r="AB37" s="168"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4" t="str">
        <f t="shared" si="1"/>
        <v/>
      </c>
      <c r="M38" s="163" t="str">
        <f t="shared" si="2"/>
        <v/>
      </c>
      <c r="N38" s="158"/>
      <c r="O38" s="159"/>
      <c r="P38" s="160"/>
      <c r="Q38" s="161" t="str">
        <f t="shared" si="3"/>
        <v/>
      </c>
      <c r="R38" s="164" t="str">
        <f t="shared" si="4"/>
        <v/>
      </c>
      <c r="S38" s="163" t="str">
        <f t="shared" si="5"/>
        <v/>
      </c>
      <c r="T38" s="158"/>
      <c r="U38" s="159"/>
      <c r="V38" s="160"/>
      <c r="W38" s="165" t="str">
        <f t="shared" si="6"/>
        <v/>
      </c>
      <c r="X38" s="164" t="str">
        <f t="shared" si="7"/>
        <v/>
      </c>
      <c r="Y38" s="163" t="str">
        <f t="shared" si="8"/>
        <v/>
      </c>
      <c r="Z38" s="166" t="str">
        <f t="shared" si="9"/>
        <v/>
      </c>
      <c r="AA38" s="167" t="str">
        <f t="shared" si="10"/>
        <v/>
      </c>
      <c r="AB38" s="168"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4" t="str">
        <f t="shared" si="1"/>
        <v/>
      </c>
      <c r="M39" s="163" t="str">
        <f t="shared" si="2"/>
        <v/>
      </c>
      <c r="N39" s="158"/>
      <c r="O39" s="159"/>
      <c r="P39" s="160"/>
      <c r="Q39" s="161" t="str">
        <f t="shared" si="3"/>
        <v/>
      </c>
      <c r="R39" s="164" t="str">
        <f t="shared" si="4"/>
        <v/>
      </c>
      <c r="S39" s="163" t="str">
        <f t="shared" si="5"/>
        <v/>
      </c>
      <c r="T39" s="158"/>
      <c r="U39" s="159"/>
      <c r="V39" s="160"/>
      <c r="W39" s="165" t="str">
        <f t="shared" si="6"/>
        <v/>
      </c>
      <c r="X39" s="164" t="str">
        <f t="shared" si="7"/>
        <v/>
      </c>
      <c r="Y39" s="163" t="str">
        <f t="shared" si="8"/>
        <v/>
      </c>
      <c r="Z39" s="166" t="str">
        <f t="shared" si="9"/>
        <v/>
      </c>
      <c r="AA39" s="167" t="str">
        <f t="shared" si="10"/>
        <v/>
      </c>
      <c r="AB39" s="168"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4" t="str">
        <f t="shared" si="1"/>
        <v/>
      </c>
      <c r="M40" s="163" t="str">
        <f t="shared" si="2"/>
        <v/>
      </c>
      <c r="N40" s="158"/>
      <c r="O40" s="159"/>
      <c r="P40" s="160"/>
      <c r="Q40" s="161" t="str">
        <f t="shared" si="3"/>
        <v/>
      </c>
      <c r="R40" s="164" t="str">
        <f t="shared" si="4"/>
        <v/>
      </c>
      <c r="S40" s="163" t="str">
        <f t="shared" si="5"/>
        <v/>
      </c>
      <c r="T40" s="158"/>
      <c r="U40" s="159"/>
      <c r="V40" s="160"/>
      <c r="W40" s="165" t="str">
        <f t="shared" si="6"/>
        <v/>
      </c>
      <c r="X40" s="164" t="str">
        <f t="shared" si="7"/>
        <v/>
      </c>
      <c r="Y40" s="163" t="str">
        <f t="shared" si="8"/>
        <v/>
      </c>
      <c r="Z40" s="166" t="str">
        <f t="shared" si="9"/>
        <v/>
      </c>
      <c r="AA40" s="167" t="str">
        <f t="shared" si="10"/>
        <v/>
      </c>
      <c r="AB40" s="168"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4" t="str">
        <f t="shared" si="1"/>
        <v/>
      </c>
      <c r="M41" s="163" t="str">
        <f t="shared" si="2"/>
        <v/>
      </c>
      <c r="N41" s="158"/>
      <c r="O41" s="159"/>
      <c r="P41" s="160"/>
      <c r="Q41" s="161" t="str">
        <f t="shared" si="3"/>
        <v/>
      </c>
      <c r="R41" s="164" t="str">
        <f t="shared" si="4"/>
        <v/>
      </c>
      <c r="S41" s="163" t="str">
        <f t="shared" si="5"/>
        <v/>
      </c>
      <c r="T41" s="158"/>
      <c r="U41" s="159"/>
      <c r="V41" s="160"/>
      <c r="W41" s="165" t="str">
        <f t="shared" si="6"/>
        <v/>
      </c>
      <c r="X41" s="164" t="str">
        <f t="shared" si="7"/>
        <v/>
      </c>
      <c r="Y41" s="163" t="str">
        <f t="shared" si="8"/>
        <v/>
      </c>
      <c r="Z41" s="166" t="str">
        <f t="shared" si="9"/>
        <v/>
      </c>
      <c r="AA41" s="167" t="str">
        <f t="shared" si="10"/>
        <v/>
      </c>
      <c r="AB41" s="168"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4" t="str">
        <f t="shared" si="1"/>
        <v/>
      </c>
      <c r="M42" s="163" t="str">
        <f t="shared" si="2"/>
        <v/>
      </c>
      <c r="N42" s="158"/>
      <c r="O42" s="159"/>
      <c r="P42" s="160"/>
      <c r="Q42" s="161" t="str">
        <f t="shared" si="3"/>
        <v/>
      </c>
      <c r="R42" s="164" t="str">
        <f t="shared" si="4"/>
        <v/>
      </c>
      <c r="S42" s="163" t="str">
        <f t="shared" si="5"/>
        <v/>
      </c>
      <c r="T42" s="158"/>
      <c r="U42" s="159"/>
      <c r="V42" s="160"/>
      <c r="W42" s="165" t="str">
        <f t="shared" si="6"/>
        <v/>
      </c>
      <c r="X42" s="164" t="str">
        <f t="shared" si="7"/>
        <v/>
      </c>
      <c r="Y42" s="163" t="str">
        <f t="shared" si="8"/>
        <v/>
      </c>
      <c r="Z42" s="166" t="str">
        <f t="shared" si="9"/>
        <v/>
      </c>
      <c r="AA42" s="167" t="str">
        <f t="shared" si="10"/>
        <v/>
      </c>
      <c r="AB42" s="168"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4" t="str">
        <f t="shared" si="1"/>
        <v/>
      </c>
      <c r="M43" s="163" t="str">
        <f t="shared" si="2"/>
        <v/>
      </c>
      <c r="N43" s="158"/>
      <c r="O43" s="159"/>
      <c r="P43" s="160"/>
      <c r="Q43" s="161" t="str">
        <f t="shared" si="3"/>
        <v/>
      </c>
      <c r="R43" s="164" t="str">
        <f t="shared" si="4"/>
        <v/>
      </c>
      <c r="S43" s="163" t="str">
        <f t="shared" si="5"/>
        <v/>
      </c>
      <c r="T43" s="158"/>
      <c r="U43" s="159"/>
      <c r="V43" s="160"/>
      <c r="W43" s="165" t="str">
        <f t="shared" si="6"/>
        <v/>
      </c>
      <c r="X43" s="164" t="str">
        <f t="shared" si="7"/>
        <v/>
      </c>
      <c r="Y43" s="163" t="str">
        <f t="shared" si="8"/>
        <v/>
      </c>
      <c r="Z43" s="166" t="str">
        <f t="shared" si="9"/>
        <v/>
      </c>
      <c r="AA43" s="167" t="str">
        <f t="shared" si="10"/>
        <v/>
      </c>
      <c r="AB43" s="168"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4" t="str">
        <f t="shared" si="1"/>
        <v/>
      </c>
      <c r="M44" s="163" t="str">
        <f t="shared" si="2"/>
        <v/>
      </c>
      <c r="N44" s="158"/>
      <c r="O44" s="159"/>
      <c r="P44" s="160"/>
      <c r="Q44" s="161" t="str">
        <f t="shared" si="3"/>
        <v/>
      </c>
      <c r="R44" s="164" t="str">
        <f t="shared" si="4"/>
        <v/>
      </c>
      <c r="S44" s="163" t="str">
        <f t="shared" si="5"/>
        <v/>
      </c>
      <c r="T44" s="158"/>
      <c r="U44" s="159"/>
      <c r="V44" s="160"/>
      <c r="W44" s="165" t="str">
        <f t="shared" si="6"/>
        <v/>
      </c>
      <c r="X44" s="164" t="str">
        <f t="shared" si="7"/>
        <v/>
      </c>
      <c r="Y44" s="163" t="str">
        <f t="shared" si="8"/>
        <v/>
      </c>
      <c r="Z44" s="166" t="str">
        <f t="shared" si="9"/>
        <v/>
      </c>
      <c r="AA44" s="167" t="str">
        <f t="shared" si="10"/>
        <v/>
      </c>
      <c r="AB44" s="168"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4" t="str">
        <f t="shared" si="1"/>
        <v/>
      </c>
      <c r="M45" s="163" t="str">
        <f t="shared" si="2"/>
        <v/>
      </c>
      <c r="N45" s="158"/>
      <c r="O45" s="159"/>
      <c r="P45" s="160"/>
      <c r="Q45" s="161" t="str">
        <f t="shared" si="3"/>
        <v/>
      </c>
      <c r="R45" s="164" t="str">
        <f t="shared" si="4"/>
        <v/>
      </c>
      <c r="S45" s="163" t="str">
        <f t="shared" si="5"/>
        <v/>
      </c>
      <c r="T45" s="158"/>
      <c r="U45" s="159"/>
      <c r="V45" s="160"/>
      <c r="W45" s="165" t="str">
        <f t="shared" si="6"/>
        <v/>
      </c>
      <c r="X45" s="164" t="str">
        <f t="shared" si="7"/>
        <v/>
      </c>
      <c r="Y45" s="163" t="str">
        <f t="shared" si="8"/>
        <v/>
      </c>
      <c r="Z45" s="166" t="str">
        <f t="shared" si="9"/>
        <v/>
      </c>
      <c r="AA45" s="167" t="str">
        <f t="shared" si="10"/>
        <v/>
      </c>
      <c r="AB45" s="168"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4" t="str">
        <f t="shared" si="1"/>
        <v/>
      </c>
      <c r="M46" s="163" t="str">
        <f t="shared" si="2"/>
        <v/>
      </c>
      <c r="N46" s="158"/>
      <c r="O46" s="159"/>
      <c r="P46" s="160"/>
      <c r="Q46" s="161" t="str">
        <f t="shared" si="3"/>
        <v/>
      </c>
      <c r="R46" s="164" t="str">
        <f t="shared" si="4"/>
        <v/>
      </c>
      <c r="S46" s="163" t="str">
        <f t="shared" si="5"/>
        <v/>
      </c>
      <c r="T46" s="158"/>
      <c r="U46" s="159"/>
      <c r="V46" s="160"/>
      <c r="W46" s="165" t="str">
        <f t="shared" si="6"/>
        <v/>
      </c>
      <c r="X46" s="164" t="str">
        <f t="shared" si="7"/>
        <v/>
      </c>
      <c r="Y46" s="163" t="str">
        <f t="shared" si="8"/>
        <v/>
      </c>
      <c r="Z46" s="166" t="str">
        <f t="shared" si="9"/>
        <v/>
      </c>
      <c r="AA46" s="167" t="str">
        <f t="shared" si="10"/>
        <v/>
      </c>
      <c r="AB46" s="168"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4" t="str">
        <f t="shared" si="1"/>
        <v/>
      </c>
      <c r="M47" s="163" t="str">
        <f t="shared" si="2"/>
        <v/>
      </c>
      <c r="N47" s="158"/>
      <c r="O47" s="159"/>
      <c r="P47" s="160"/>
      <c r="Q47" s="161" t="str">
        <f t="shared" si="3"/>
        <v/>
      </c>
      <c r="R47" s="164" t="str">
        <f t="shared" si="4"/>
        <v/>
      </c>
      <c r="S47" s="163" t="str">
        <f t="shared" si="5"/>
        <v/>
      </c>
      <c r="T47" s="158"/>
      <c r="U47" s="159"/>
      <c r="V47" s="160"/>
      <c r="W47" s="165" t="str">
        <f t="shared" si="6"/>
        <v/>
      </c>
      <c r="X47" s="164" t="str">
        <f t="shared" si="7"/>
        <v/>
      </c>
      <c r="Y47" s="163" t="str">
        <f t="shared" si="8"/>
        <v/>
      </c>
      <c r="Z47" s="166" t="str">
        <f t="shared" si="9"/>
        <v/>
      </c>
      <c r="AA47" s="167" t="str">
        <f t="shared" si="10"/>
        <v/>
      </c>
      <c r="AB47" s="168"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4" t="str">
        <f t="shared" si="1"/>
        <v/>
      </c>
      <c r="M48" s="163" t="str">
        <f t="shared" si="2"/>
        <v/>
      </c>
      <c r="N48" s="158"/>
      <c r="O48" s="159"/>
      <c r="P48" s="160"/>
      <c r="Q48" s="161" t="str">
        <f t="shared" si="3"/>
        <v/>
      </c>
      <c r="R48" s="164" t="str">
        <f t="shared" si="4"/>
        <v/>
      </c>
      <c r="S48" s="163" t="str">
        <f t="shared" si="5"/>
        <v/>
      </c>
      <c r="T48" s="158"/>
      <c r="U48" s="159"/>
      <c r="V48" s="160"/>
      <c r="W48" s="165" t="str">
        <f t="shared" si="6"/>
        <v/>
      </c>
      <c r="X48" s="164" t="str">
        <f t="shared" si="7"/>
        <v/>
      </c>
      <c r="Y48" s="163" t="str">
        <f t="shared" si="8"/>
        <v/>
      </c>
      <c r="Z48" s="166" t="str">
        <f t="shared" si="9"/>
        <v/>
      </c>
      <c r="AA48" s="167" t="str">
        <f t="shared" si="10"/>
        <v/>
      </c>
      <c r="AB48" s="168"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4" t="str">
        <f t="shared" si="1"/>
        <v/>
      </c>
      <c r="M49" s="163" t="str">
        <f t="shared" si="2"/>
        <v/>
      </c>
      <c r="N49" s="158"/>
      <c r="O49" s="159"/>
      <c r="P49" s="160"/>
      <c r="Q49" s="161" t="str">
        <f t="shared" si="3"/>
        <v/>
      </c>
      <c r="R49" s="164" t="str">
        <f t="shared" si="4"/>
        <v/>
      </c>
      <c r="S49" s="163" t="str">
        <f t="shared" si="5"/>
        <v/>
      </c>
      <c r="T49" s="158"/>
      <c r="U49" s="159"/>
      <c r="V49" s="160"/>
      <c r="W49" s="165" t="str">
        <f t="shared" si="6"/>
        <v/>
      </c>
      <c r="X49" s="164" t="str">
        <f t="shared" si="7"/>
        <v/>
      </c>
      <c r="Y49" s="163" t="str">
        <f t="shared" si="8"/>
        <v/>
      </c>
      <c r="Z49" s="166" t="str">
        <f t="shared" si="9"/>
        <v/>
      </c>
      <c r="AA49" s="167" t="str">
        <f t="shared" si="10"/>
        <v/>
      </c>
      <c r="AB49" s="168"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4" t="str">
        <f t="shared" si="1"/>
        <v/>
      </c>
      <c r="M50" s="163" t="str">
        <f t="shared" si="2"/>
        <v/>
      </c>
      <c r="N50" s="158"/>
      <c r="O50" s="159"/>
      <c r="P50" s="160"/>
      <c r="Q50" s="161" t="str">
        <f t="shared" si="3"/>
        <v/>
      </c>
      <c r="R50" s="164" t="str">
        <f t="shared" si="4"/>
        <v/>
      </c>
      <c r="S50" s="163" t="str">
        <f t="shared" si="5"/>
        <v/>
      </c>
      <c r="T50" s="158"/>
      <c r="U50" s="159"/>
      <c r="V50" s="160"/>
      <c r="W50" s="165" t="str">
        <f t="shared" si="6"/>
        <v/>
      </c>
      <c r="X50" s="164" t="str">
        <f t="shared" si="7"/>
        <v/>
      </c>
      <c r="Y50" s="163" t="str">
        <f t="shared" si="8"/>
        <v/>
      </c>
      <c r="Z50" s="166" t="str">
        <f t="shared" si="9"/>
        <v/>
      </c>
      <c r="AA50" s="167" t="str">
        <f t="shared" si="10"/>
        <v/>
      </c>
      <c r="AB50" s="168"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4" t="str">
        <f t="shared" si="1"/>
        <v/>
      </c>
      <c r="M51" s="163" t="str">
        <f t="shared" si="2"/>
        <v/>
      </c>
      <c r="N51" s="158"/>
      <c r="O51" s="159"/>
      <c r="P51" s="160"/>
      <c r="Q51" s="161" t="str">
        <f t="shared" si="3"/>
        <v/>
      </c>
      <c r="R51" s="164" t="str">
        <f t="shared" si="4"/>
        <v/>
      </c>
      <c r="S51" s="163" t="str">
        <f t="shared" si="5"/>
        <v/>
      </c>
      <c r="T51" s="158"/>
      <c r="U51" s="159"/>
      <c r="V51" s="160"/>
      <c r="W51" s="165" t="str">
        <f t="shared" si="6"/>
        <v/>
      </c>
      <c r="X51" s="164" t="str">
        <f t="shared" si="7"/>
        <v/>
      </c>
      <c r="Y51" s="163" t="str">
        <f t="shared" si="8"/>
        <v/>
      </c>
      <c r="Z51" s="166" t="str">
        <f t="shared" si="9"/>
        <v/>
      </c>
      <c r="AA51" s="167" t="str">
        <f t="shared" si="10"/>
        <v/>
      </c>
      <c r="AB51" s="168"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4" t="str">
        <f t="shared" si="1"/>
        <v/>
      </c>
      <c r="M52" s="163" t="str">
        <f t="shared" si="2"/>
        <v/>
      </c>
      <c r="N52" s="158"/>
      <c r="O52" s="159"/>
      <c r="P52" s="160"/>
      <c r="Q52" s="161" t="str">
        <f t="shared" si="3"/>
        <v/>
      </c>
      <c r="R52" s="164" t="str">
        <f t="shared" si="4"/>
        <v/>
      </c>
      <c r="S52" s="163" t="str">
        <f t="shared" si="5"/>
        <v/>
      </c>
      <c r="T52" s="158"/>
      <c r="U52" s="159"/>
      <c r="V52" s="160"/>
      <c r="W52" s="165" t="str">
        <f t="shared" si="6"/>
        <v/>
      </c>
      <c r="X52" s="164" t="str">
        <f t="shared" si="7"/>
        <v/>
      </c>
      <c r="Y52" s="163" t="str">
        <f t="shared" si="8"/>
        <v/>
      </c>
      <c r="Z52" s="166" t="str">
        <f t="shared" si="9"/>
        <v/>
      </c>
      <c r="AA52" s="167" t="str">
        <f t="shared" si="10"/>
        <v/>
      </c>
      <c r="AB52" s="168"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4" t="str">
        <f t="shared" si="1"/>
        <v/>
      </c>
      <c r="M53" s="163" t="str">
        <f t="shared" si="2"/>
        <v/>
      </c>
      <c r="N53" s="158"/>
      <c r="O53" s="159"/>
      <c r="P53" s="160"/>
      <c r="Q53" s="161" t="str">
        <f t="shared" si="3"/>
        <v/>
      </c>
      <c r="R53" s="164" t="str">
        <f t="shared" si="4"/>
        <v/>
      </c>
      <c r="S53" s="163" t="str">
        <f t="shared" si="5"/>
        <v/>
      </c>
      <c r="T53" s="158"/>
      <c r="U53" s="159"/>
      <c r="V53" s="160"/>
      <c r="W53" s="165" t="str">
        <f t="shared" si="6"/>
        <v/>
      </c>
      <c r="X53" s="164" t="str">
        <f t="shared" si="7"/>
        <v/>
      </c>
      <c r="Y53" s="163" t="str">
        <f t="shared" si="8"/>
        <v/>
      </c>
      <c r="Z53" s="166" t="str">
        <f t="shared" si="9"/>
        <v/>
      </c>
      <c r="AA53" s="167" t="str">
        <f t="shared" si="10"/>
        <v/>
      </c>
      <c r="AB53" s="168"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4" t="str">
        <f t="shared" si="1"/>
        <v/>
      </c>
      <c r="M54" s="163" t="str">
        <f t="shared" si="2"/>
        <v/>
      </c>
      <c r="N54" s="158"/>
      <c r="O54" s="159"/>
      <c r="P54" s="160"/>
      <c r="Q54" s="161" t="str">
        <f t="shared" si="3"/>
        <v/>
      </c>
      <c r="R54" s="164" t="str">
        <f t="shared" si="4"/>
        <v/>
      </c>
      <c r="S54" s="163" t="str">
        <f t="shared" si="5"/>
        <v/>
      </c>
      <c r="T54" s="158"/>
      <c r="U54" s="159"/>
      <c r="V54" s="160"/>
      <c r="W54" s="165" t="str">
        <f t="shared" si="6"/>
        <v/>
      </c>
      <c r="X54" s="164" t="str">
        <f t="shared" si="7"/>
        <v/>
      </c>
      <c r="Y54" s="163" t="str">
        <f t="shared" si="8"/>
        <v/>
      </c>
      <c r="Z54" s="166" t="str">
        <f t="shared" si="9"/>
        <v/>
      </c>
      <c r="AA54" s="167" t="str">
        <f t="shared" si="10"/>
        <v/>
      </c>
      <c r="AB54" s="168"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4" t="str">
        <f t="shared" si="1"/>
        <v/>
      </c>
      <c r="M55" s="163" t="str">
        <f t="shared" si="2"/>
        <v/>
      </c>
      <c r="N55" s="158"/>
      <c r="O55" s="159"/>
      <c r="P55" s="160"/>
      <c r="Q55" s="161" t="str">
        <f t="shared" si="3"/>
        <v/>
      </c>
      <c r="R55" s="164" t="str">
        <f t="shared" si="4"/>
        <v/>
      </c>
      <c r="S55" s="163" t="str">
        <f t="shared" si="5"/>
        <v/>
      </c>
      <c r="T55" s="158"/>
      <c r="U55" s="159"/>
      <c r="V55" s="160"/>
      <c r="W55" s="165" t="str">
        <f t="shared" si="6"/>
        <v/>
      </c>
      <c r="X55" s="164" t="str">
        <f t="shared" si="7"/>
        <v/>
      </c>
      <c r="Y55" s="163" t="str">
        <f t="shared" si="8"/>
        <v/>
      </c>
      <c r="Z55" s="166" t="str">
        <f t="shared" si="9"/>
        <v/>
      </c>
      <c r="AA55" s="167" t="str">
        <f t="shared" si="10"/>
        <v/>
      </c>
      <c r="AB55" s="168"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4" t="str">
        <f t="shared" si="1"/>
        <v/>
      </c>
      <c r="M56" s="163" t="str">
        <f t="shared" si="2"/>
        <v/>
      </c>
      <c r="N56" s="158"/>
      <c r="O56" s="159"/>
      <c r="P56" s="160"/>
      <c r="Q56" s="161" t="str">
        <f t="shared" si="3"/>
        <v/>
      </c>
      <c r="R56" s="164" t="str">
        <f t="shared" si="4"/>
        <v/>
      </c>
      <c r="S56" s="163" t="str">
        <f t="shared" si="5"/>
        <v/>
      </c>
      <c r="T56" s="158"/>
      <c r="U56" s="159"/>
      <c r="V56" s="160"/>
      <c r="W56" s="165" t="str">
        <f t="shared" si="6"/>
        <v/>
      </c>
      <c r="X56" s="164" t="str">
        <f t="shared" si="7"/>
        <v/>
      </c>
      <c r="Y56" s="163" t="str">
        <f t="shared" si="8"/>
        <v/>
      </c>
      <c r="Z56" s="166" t="str">
        <f t="shared" si="9"/>
        <v/>
      </c>
      <c r="AA56" s="167" t="str">
        <f t="shared" si="10"/>
        <v/>
      </c>
      <c r="AB56" s="168"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4" t="str">
        <f t="shared" si="1"/>
        <v/>
      </c>
      <c r="M57" s="163" t="str">
        <f t="shared" si="2"/>
        <v/>
      </c>
      <c r="N57" s="158"/>
      <c r="O57" s="159"/>
      <c r="P57" s="160"/>
      <c r="Q57" s="161" t="str">
        <f t="shared" si="3"/>
        <v/>
      </c>
      <c r="R57" s="164" t="str">
        <f t="shared" si="4"/>
        <v/>
      </c>
      <c r="S57" s="163" t="str">
        <f t="shared" si="5"/>
        <v/>
      </c>
      <c r="T57" s="158"/>
      <c r="U57" s="159"/>
      <c r="V57" s="160"/>
      <c r="W57" s="165" t="str">
        <f t="shared" si="6"/>
        <v/>
      </c>
      <c r="X57" s="164" t="str">
        <f t="shared" si="7"/>
        <v/>
      </c>
      <c r="Y57" s="163" t="str">
        <f t="shared" si="8"/>
        <v/>
      </c>
      <c r="Z57" s="166" t="str">
        <f t="shared" si="9"/>
        <v/>
      </c>
      <c r="AA57" s="167" t="str">
        <f t="shared" si="10"/>
        <v/>
      </c>
      <c r="AB57" s="168"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4" t="str">
        <f t="shared" si="1"/>
        <v/>
      </c>
      <c r="M58" s="163" t="str">
        <f t="shared" si="2"/>
        <v/>
      </c>
      <c r="N58" s="158"/>
      <c r="O58" s="159"/>
      <c r="P58" s="160"/>
      <c r="Q58" s="161" t="str">
        <f t="shared" si="3"/>
        <v/>
      </c>
      <c r="R58" s="164" t="str">
        <f t="shared" si="4"/>
        <v/>
      </c>
      <c r="S58" s="163" t="str">
        <f t="shared" si="5"/>
        <v/>
      </c>
      <c r="T58" s="158"/>
      <c r="U58" s="159"/>
      <c r="V58" s="160"/>
      <c r="W58" s="165" t="str">
        <f t="shared" si="6"/>
        <v/>
      </c>
      <c r="X58" s="164" t="str">
        <f t="shared" si="7"/>
        <v/>
      </c>
      <c r="Y58" s="163" t="str">
        <f t="shared" si="8"/>
        <v/>
      </c>
      <c r="Z58" s="166" t="str">
        <f t="shared" si="9"/>
        <v/>
      </c>
      <c r="AA58" s="167" t="str">
        <f t="shared" si="10"/>
        <v/>
      </c>
      <c r="AB58" s="168"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4" t="str">
        <f t="shared" si="1"/>
        <v/>
      </c>
      <c r="M59" s="163" t="str">
        <f t="shared" si="2"/>
        <v/>
      </c>
      <c r="N59" s="158"/>
      <c r="O59" s="159"/>
      <c r="P59" s="160"/>
      <c r="Q59" s="161" t="str">
        <f t="shared" si="3"/>
        <v/>
      </c>
      <c r="R59" s="164" t="str">
        <f t="shared" si="4"/>
        <v/>
      </c>
      <c r="S59" s="163" t="str">
        <f t="shared" si="5"/>
        <v/>
      </c>
      <c r="T59" s="158"/>
      <c r="U59" s="159"/>
      <c r="V59" s="160"/>
      <c r="W59" s="165" t="str">
        <f t="shared" si="6"/>
        <v/>
      </c>
      <c r="X59" s="164" t="str">
        <f t="shared" si="7"/>
        <v/>
      </c>
      <c r="Y59" s="163" t="str">
        <f t="shared" si="8"/>
        <v/>
      </c>
      <c r="Z59" s="166" t="str">
        <f t="shared" si="9"/>
        <v/>
      </c>
      <c r="AA59" s="167" t="str">
        <f t="shared" si="10"/>
        <v/>
      </c>
      <c r="AB59" s="168"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4" t="str">
        <f t="shared" si="1"/>
        <v/>
      </c>
      <c r="M60" s="163" t="str">
        <f t="shared" si="2"/>
        <v/>
      </c>
      <c r="N60" s="158"/>
      <c r="O60" s="159"/>
      <c r="P60" s="160"/>
      <c r="Q60" s="161" t="str">
        <f t="shared" si="3"/>
        <v/>
      </c>
      <c r="R60" s="164" t="str">
        <f t="shared" si="4"/>
        <v/>
      </c>
      <c r="S60" s="163" t="str">
        <f t="shared" si="5"/>
        <v/>
      </c>
      <c r="T60" s="158"/>
      <c r="U60" s="159"/>
      <c r="V60" s="160"/>
      <c r="W60" s="165" t="str">
        <f t="shared" si="6"/>
        <v/>
      </c>
      <c r="X60" s="164" t="str">
        <f t="shared" si="7"/>
        <v/>
      </c>
      <c r="Y60" s="163" t="str">
        <f t="shared" si="8"/>
        <v/>
      </c>
      <c r="Z60" s="166" t="str">
        <f t="shared" si="9"/>
        <v/>
      </c>
      <c r="AA60" s="167" t="str">
        <f t="shared" si="10"/>
        <v/>
      </c>
      <c r="AB60" s="168"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4" t="str">
        <f t="shared" si="1"/>
        <v/>
      </c>
      <c r="M61" s="163" t="str">
        <f t="shared" si="2"/>
        <v/>
      </c>
      <c r="N61" s="158"/>
      <c r="O61" s="159"/>
      <c r="P61" s="160"/>
      <c r="Q61" s="161" t="str">
        <f t="shared" si="3"/>
        <v/>
      </c>
      <c r="R61" s="164" t="str">
        <f t="shared" si="4"/>
        <v/>
      </c>
      <c r="S61" s="163" t="str">
        <f t="shared" si="5"/>
        <v/>
      </c>
      <c r="T61" s="158"/>
      <c r="U61" s="159"/>
      <c r="V61" s="160"/>
      <c r="W61" s="165" t="str">
        <f t="shared" si="6"/>
        <v/>
      </c>
      <c r="X61" s="164" t="str">
        <f t="shared" si="7"/>
        <v/>
      </c>
      <c r="Y61" s="163" t="str">
        <f t="shared" si="8"/>
        <v/>
      </c>
      <c r="Z61" s="166" t="str">
        <f t="shared" si="9"/>
        <v/>
      </c>
      <c r="AA61" s="167" t="str">
        <f t="shared" si="10"/>
        <v/>
      </c>
      <c r="AB61" s="168"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4" t="str">
        <f t="shared" si="1"/>
        <v/>
      </c>
      <c r="M62" s="163" t="str">
        <f t="shared" si="2"/>
        <v/>
      </c>
      <c r="N62" s="158"/>
      <c r="O62" s="159"/>
      <c r="P62" s="160"/>
      <c r="Q62" s="161" t="str">
        <f t="shared" si="3"/>
        <v/>
      </c>
      <c r="R62" s="164" t="str">
        <f t="shared" si="4"/>
        <v/>
      </c>
      <c r="S62" s="163" t="str">
        <f t="shared" si="5"/>
        <v/>
      </c>
      <c r="T62" s="158"/>
      <c r="U62" s="159"/>
      <c r="V62" s="160"/>
      <c r="W62" s="165" t="str">
        <f t="shared" si="6"/>
        <v/>
      </c>
      <c r="X62" s="164" t="str">
        <f t="shared" si="7"/>
        <v/>
      </c>
      <c r="Y62" s="163" t="str">
        <f t="shared" si="8"/>
        <v/>
      </c>
      <c r="Z62" s="166" t="str">
        <f t="shared" si="9"/>
        <v/>
      </c>
      <c r="AA62" s="167" t="str">
        <f t="shared" si="10"/>
        <v/>
      </c>
      <c r="AB62" s="168"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4" t="str">
        <f t="shared" si="1"/>
        <v/>
      </c>
      <c r="M63" s="163" t="str">
        <f t="shared" si="2"/>
        <v/>
      </c>
      <c r="N63" s="158"/>
      <c r="O63" s="159"/>
      <c r="P63" s="160"/>
      <c r="Q63" s="161" t="str">
        <f t="shared" si="3"/>
        <v/>
      </c>
      <c r="R63" s="164" t="str">
        <f t="shared" si="4"/>
        <v/>
      </c>
      <c r="S63" s="163" t="str">
        <f t="shared" si="5"/>
        <v/>
      </c>
      <c r="T63" s="158"/>
      <c r="U63" s="159"/>
      <c r="V63" s="160"/>
      <c r="W63" s="165" t="str">
        <f t="shared" si="6"/>
        <v/>
      </c>
      <c r="X63" s="164" t="str">
        <f t="shared" si="7"/>
        <v/>
      </c>
      <c r="Y63" s="163" t="str">
        <f t="shared" si="8"/>
        <v/>
      </c>
      <c r="Z63" s="166" t="str">
        <f t="shared" si="9"/>
        <v/>
      </c>
      <c r="AA63" s="167" t="str">
        <f t="shared" si="10"/>
        <v/>
      </c>
      <c r="AB63" s="168"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4" t="str">
        <f t="shared" si="1"/>
        <v/>
      </c>
      <c r="M64" s="163" t="str">
        <f t="shared" si="2"/>
        <v/>
      </c>
      <c r="N64" s="158"/>
      <c r="O64" s="159"/>
      <c r="P64" s="160"/>
      <c r="Q64" s="161" t="str">
        <f t="shared" si="3"/>
        <v/>
      </c>
      <c r="R64" s="164" t="str">
        <f t="shared" si="4"/>
        <v/>
      </c>
      <c r="S64" s="163" t="str">
        <f t="shared" si="5"/>
        <v/>
      </c>
      <c r="T64" s="158"/>
      <c r="U64" s="159"/>
      <c r="V64" s="160"/>
      <c r="W64" s="165" t="str">
        <f t="shared" si="6"/>
        <v/>
      </c>
      <c r="X64" s="164" t="str">
        <f t="shared" si="7"/>
        <v/>
      </c>
      <c r="Y64" s="163" t="str">
        <f t="shared" si="8"/>
        <v/>
      </c>
      <c r="Z64" s="166" t="str">
        <f t="shared" si="9"/>
        <v/>
      </c>
      <c r="AA64" s="167" t="str">
        <f t="shared" si="10"/>
        <v/>
      </c>
      <c r="AB64" s="168"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4" t="str">
        <f t="shared" si="1"/>
        <v/>
      </c>
      <c r="M65" s="163" t="str">
        <f t="shared" si="2"/>
        <v/>
      </c>
      <c r="N65" s="158"/>
      <c r="O65" s="159"/>
      <c r="P65" s="160"/>
      <c r="Q65" s="161" t="str">
        <f t="shared" si="3"/>
        <v/>
      </c>
      <c r="R65" s="164" t="str">
        <f t="shared" si="4"/>
        <v/>
      </c>
      <c r="S65" s="163" t="str">
        <f t="shared" si="5"/>
        <v/>
      </c>
      <c r="T65" s="158"/>
      <c r="U65" s="159"/>
      <c r="V65" s="160"/>
      <c r="W65" s="165" t="str">
        <f t="shared" si="6"/>
        <v/>
      </c>
      <c r="X65" s="164" t="str">
        <f t="shared" si="7"/>
        <v/>
      </c>
      <c r="Y65" s="163" t="str">
        <f t="shared" si="8"/>
        <v/>
      </c>
      <c r="Z65" s="166" t="str">
        <f t="shared" si="9"/>
        <v/>
      </c>
      <c r="AA65" s="167" t="str">
        <f t="shared" si="10"/>
        <v/>
      </c>
      <c r="AB65" s="168"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4" t="str">
        <f t="shared" si="1"/>
        <v/>
      </c>
      <c r="M66" s="163" t="str">
        <f t="shared" si="2"/>
        <v/>
      </c>
      <c r="N66" s="158"/>
      <c r="O66" s="159"/>
      <c r="P66" s="160"/>
      <c r="Q66" s="161" t="str">
        <f t="shared" si="3"/>
        <v/>
      </c>
      <c r="R66" s="164" t="str">
        <f t="shared" si="4"/>
        <v/>
      </c>
      <c r="S66" s="163" t="str">
        <f t="shared" si="5"/>
        <v/>
      </c>
      <c r="T66" s="158"/>
      <c r="U66" s="159"/>
      <c r="V66" s="160"/>
      <c r="W66" s="165" t="str">
        <f t="shared" si="6"/>
        <v/>
      </c>
      <c r="X66" s="164" t="str">
        <f t="shared" si="7"/>
        <v/>
      </c>
      <c r="Y66" s="163" t="str">
        <f t="shared" si="8"/>
        <v/>
      </c>
      <c r="Z66" s="166" t="str">
        <f t="shared" si="9"/>
        <v/>
      </c>
      <c r="AA66" s="167" t="str">
        <f t="shared" si="10"/>
        <v/>
      </c>
      <c r="AB66" s="168"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4" t="str">
        <f t="shared" si="1"/>
        <v/>
      </c>
      <c r="M67" s="163" t="str">
        <f t="shared" si="2"/>
        <v/>
      </c>
      <c r="N67" s="171"/>
      <c r="O67" s="172"/>
      <c r="P67" s="173"/>
      <c r="Q67" s="161" t="str">
        <f t="shared" si="3"/>
        <v/>
      </c>
      <c r="R67" s="164" t="str">
        <f t="shared" si="4"/>
        <v/>
      </c>
      <c r="S67" s="163" t="str">
        <f t="shared" si="5"/>
        <v/>
      </c>
      <c r="T67" s="171"/>
      <c r="U67" s="172"/>
      <c r="V67" s="173"/>
      <c r="W67" s="165" t="str">
        <f t="shared" si="6"/>
        <v/>
      </c>
      <c r="X67" s="164" t="str">
        <f t="shared" si="7"/>
        <v/>
      </c>
      <c r="Y67" s="163" t="str">
        <f t="shared" si="8"/>
        <v/>
      </c>
      <c r="Z67" s="166" t="str">
        <f t="shared" si="9"/>
        <v/>
      </c>
      <c r="AA67" s="167" t="str">
        <f t="shared" si="10"/>
        <v/>
      </c>
      <c r="AB67" s="168"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FF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41</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SCIENCE</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48" t="str">
        <f t="shared" ref="L18:L67" si="1">IF(COUNT(F18:J18)=0,"",IFERROR(K18/$K$15*$L$15,""))</f>
        <v/>
      </c>
      <c r="M18" s="149" t="str">
        <f t="shared" ref="M18:M67" si="2">IF(L18="","",L18*$M$15)</f>
        <v/>
      </c>
      <c r="N18" s="144"/>
      <c r="O18" s="145"/>
      <c r="P18" s="146"/>
      <c r="Q18" s="147" t="str">
        <f t="shared" ref="Q18:Q67" si="3">IF(COUNT(N18:P18)=0,"",SUM(N18:P18))</f>
        <v/>
      </c>
      <c r="R18" s="150" t="str">
        <f t="shared" ref="R18:R67" si="4">IF(COUNT(N18:P18)=0,"",IFERROR(Q18/$Q$15*$R$15,""))</f>
        <v/>
      </c>
      <c r="S18" s="149"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55" t="str">
        <f t="shared" ref="AA18:AA67" si="10">IF(Z18="","",Z18*$AA$15)</f>
        <v/>
      </c>
      <c r="AB18" s="156"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2" t="str">
        <f t="shared" si="1"/>
        <v/>
      </c>
      <c r="M19" s="163" t="str">
        <f t="shared" si="2"/>
        <v/>
      </c>
      <c r="N19" s="158"/>
      <c r="O19" s="159"/>
      <c r="P19" s="160"/>
      <c r="Q19" s="161" t="str">
        <f t="shared" si="3"/>
        <v/>
      </c>
      <c r="R19" s="164" t="str">
        <f t="shared" si="4"/>
        <v/>
      </c>
      <c r="S19" s="163" t="str">
        <f t="shared" si="5"/>
        <v/>
      </c>
      <c r="T19" s="158"/>
      <c r="U19" s="159"/>
      <c r="V19" s="160"/>
      <c r="W19" s="165" t="str">
        <f t="shared" si="6"/>
        <v/>
      </c>
      <c r="X19" s="164" t="str">
        <f t="shared" si="7"/>
        <v/>
      </c>
      <c r="Y19" s="163" t="str">
        <f t="shared" si="8"/>
        <v/>
      </c>
      <c r="Z19" s="166" t="str">
        <f t="shared" si="9"/>
        <v/>
      </c>
      <c r="AA19" s="167" t="str">
        <f t="shared" si="10"/>
        <v/>
      </c>
      <c r="AB19" s="168"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2" t="str">
        <f t="shared" si="1"/>
        <v/>
      </c>
      <c r="M20" s="163" t="str">
        <f t="shared" si="2"/>
        <v/>
      </c>
      <c r="N20" s="158"/>
      <c r="O20" s="159"/>
      <c r="P20" s="160"/>
      <c r="Q20" s="161" t="str">
        <f t="shared" si="3"/>
        <v/>
      </c>
      <c r="R20" s="164" t="str">
        <f t="shared" si="4"/>
        <v/>
      </c>
      <c r="S20" s="163" t="str">
        <f t="shared" si="5"/>
        <v/>
      </c>
      <c r="T20" s="158"/>
      <c r="U20" s="159"/>
      <c r="V20" s="160"/>
      <c r="W20" s="165" t="str">
        <f t="shared" si="6"/>
        <v/>
      </c>
      <c r="X20" s="164" t="str">
        <f t="shared" si="7"/>
        <v/>
      </c>
      <c r="Y20" s="163" t="str">
        <f t="shared" si="8"/>
        <v/>
      </c>
      <c r="Z20" s="166" t="str">
        <f t="shared" si="9"/>
        <v/>
      </c>
      <c r="AA20" s="167" t="str">
        <f t="shared" si="10"/>
        <v/>
      </c>
      <c r="AB20" s="168"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2" t="str">
        <f t="shared" si="1"/>
        <v/>
      </c>
      <c r="M21" s="163" t="str">
        <f t="shared" si="2"/>
        <v/>
      </c>
      <c r="N21" s="158"/>
      <c r="O21" s="159"/>
      <c r="P21" s="160"/>
      <c r="Q21" s="161" t="str">
        <f t="shared" si="3"/>
        <v/>
      </c>
      <c r="R21" s="164" t="str">
        <f t="shared" si="4"/>
        <v/>
      </c>
      <c r="S21" s="163" t="str">
        <f t="shared" si="5"/>
        <v/>
      </c>
      <c r="T21" s="158"/>
      <c r="U21" s="159"/>
      <c r="V21" s="160"/>
      <c r="W21" s="165" t="str">
        <f t="shared" si="6"/>
        <v/>
      </c>
      <c r="X21" s="164" t="str">
        <f t="shared" si="7"/>
        <v/>
      </c>
      <c r="Y21" s="163" t="str">
        <f t="shared" si="8"/>
        <v/>
      </c>
      <c r="Z21" s="166" t="str">
        <f t="shared" si="9"/>
        <v/>
      </c>
      <c r="AA21" s="167" t="str">
        <f t="shared" si="10"/>
        <v/>
      </c>
      <c r="AB21" s="168"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2" t="str">
        <f t="shared" si="1"/>
        <v/>
      </c>
      <c r="M22" s="163" t="str">
        <f t="shared" si="2"/>
        <v/>
      </c>
      <c r="N22" s="158"/>
      <c r="O22" s="159"/>
      <c r="P22" s="160"/>
      <c r="Q22" s="161" t="str">
        <f t="shared" si="3"/>
        <v/>
      </c>
      <c r="R22" s="164" t="str">
        <f t="shared" si="4"/>
        <v/>
      </c>
      <c r="S22" s="163" t="str">
        <f t="shared" si="5"/>
        <v/>
      </c>
      <c r="T22" s="158"/>
      <c r="U22" s="159"/>
      <c r="V22" s="160"/>
      <c r="W22" s="165" t="str">
        <f t="shared" si="6"/>
        <v/>
      </c>
      <c r="X22" s="164" t="str">
        <f t="shared" si="7"/>
        <v/>
      </c>
      <c r="Y22" s="163" t="str">
        <f t="shared" si="8"/>
        <v/>
      </c>
      <c r="Z22" s="166" t="str">
        <f t="shared" si="9"/>
        <v/>
      </c>
      <c r="AA22" s="167" t="str">
        <f t="shared" si="10"/>
        <v/>
      </c>
      <c r="AB22" s="168"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2" t="str">
        <f t="shared" si="1"/>
        <v/>
      </c>
      <c r="M23" s="163" t="str">
        <f t="shared" si="2"/>
        <v/>
      </c>
      <c r="N23" s="158"/>
      <c r="O23" s="159"/>
      <c r="P23" s="160"/>
      <c r="Q23" s="161" t="str">
        <f t="shared" si="3"/>
        <v/>
      </c>
      <c r="R23" s="164" t="str">
        <f t="shared" si="4"/>
        <v/>
      </c>
      <c r="S23" s="163" t="str">
        <f t="shared" si="5"/>
        <v/>
      </c>
      <c r="T23" s="158"/>
      <c r="U23" s="159"/>
      <c r="V23" s="160"/>
      <c r="W23" s="165" t="str">
        <f t="shared" si="6"/>
        <v/>
      </c>
      <c r="X23" s="164" t="str">
        <f t="shared" si="7"/>
        <v/>
      </c>
      <c r="Y23" s="163" t="str">
        <f t="shared" si="8"/>
        <v/>
      </c>
      <c r="Z23" s="166" t="str">
        <f t="shared" si="9"/>
        <v/>
      </c>
      <c r="AA23" s="167" t="str">
        <f t="shared" si="10"/>
        <v/>
      </c>
      <c r="AB23" s="168"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2" t="str">
        <f t="shared" si="1"/>
        <v/>
      </c>
      <c r="M24" s="163" t="str">
        <f t="shared" si="2"/>
        <v/>
      </c>
      <c r="N24" s="158"/>
      <c r="O24" s="159"/>
      <c r="P24" s="160"/>
      <c r="Q24" s="161" t="str">
        <f t="shared" si="3"/>
        <v/>
      </c>
      <c r="R24" s="164" t="str">
        <f t="shared" si="4"/>
        <v/>
      </c>
      <c r="S24" s="163" t="str">
        <f t="shared" si="5"/>
        <v/>
      </c>
      <c r="T24" s="158"/>
      <c r="U24" s="159"/>
      <c r="V24" s="160"/>
      <c r="W24" s="165" t="str">
        <f t="shared" si="6"/>
        <v/>
      </c>
      <c r="X24" s="164" t="str">
        <f t="shared" si="7"/>
        <v/>
      </c>
      <c r="Y24" s="163" t="str">
        <f t="shared" si="8"/>
        <v/>
      </c>
      <c r="Z24" s="166" t="str">
        <f t="shared" si="9"/>
        <v/>
      </c>
      <c r="AA24" s="167" t="str">
        <f t="shared" si="10"/>
        <v/>
      </c>
      <c r="AB24" s="168"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2" t="str">
        <f t="shared" si="1"/>
        <v/>
      </c>
      <c r="M25" s="163" t="str">
        <f t="shared" si="2"/>
        <v/>
      </c>
      <c r="N25" s="158"/>
      <c r="O25" s="159"/>
      <c r="P25" s="160"/>
      <c r="Q25" s="161" t="str">
        <f t="shared" si="3"/>
        <v/>
      </c>
      <c r="R25" s="164" t="str">
        <f t="shared" si="4"/>
        <v/>
      </c>
      <c r="S25" s="163" t="str">
        <f t="shared" si="5"/>
        <v/>
      </c>
      <c r="T25" s="158"/>
      <c r="U25" s="159"/>
      <c r="V25" s="160"/>
      <c r="W25" s="165" t="str">
        <f t="shared" si="6"/>
        <v/>
      </c>
      <c r="X25" s="164" t="str">
        <f t="shared" si="7"/>
        <v/>
      </c>
      <c r="Y25" s="163" t="str">
        <f t="shared" si="8"/>
        <v/>
      </c>
      <c r="Z25" s="166" t="str">
        <f t="shared" si="9"/>
        <v/>
      </c>
      <c r="AA25" s="167" t="str">
        <f t="shared" si="10"/>
        <v/>
      </c>
      <c r="AB25" s="168"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2" t="str">
        <f t="shared" si="1"/>
        <v/>
      </c>
      <c r="M26" s="163" t="str">
        <f t="shared" si="2"/>
        <v/>
      </c>
      <c r="N26" s="158"/>
      <c r="O26" s="159"/>
      <c r="P26" s="160"/>
      <c r="Q26" s="161" t="str">
        <f t="shared" si="3"/>
        <v/>
      </c>
      <c r="R26" s="164" t="str">
        <f t="shared" si="4"/>
        <v/>
      </c>
      <c r="S26" s="163" t="str">
        <f t="shared" si="5"/>
        <v/>
      </c>
      <c r="T26" s="158"/>
      <c r="U26" s="159"/>
      <c r="V26" s="160"/>
      <c r="W26" s="165" t="str">
        <f t="shared" si="6"/>
        <v/>
      </c>
      <c r="X26" s="164" t="str">
        <f t="shared" si="7"/>
        <v/>
      </c>
      <c r="Y26" s="163" t="str">
        <f t="shared" si="8"/>
        <v/>
      </c>
      <c r="Z26" s="166" t="str">
        <f t="shared" si="9"/>
        <v/>
      </c>
      <c r="AA26" s="167" t="str">
        <f t="shared" si="10"/>
        <v/>
      </c>
      <c r="AB26" s="168"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2" t="str">
        <f t="shared" si="1"/>
        <v/>
      </c>
      <c r="M27" s="163" t="str">
        <f t="shared" si="2"/>
        <v/>
      </c>
      <c r="N27" s="158"/>
      <c r="O27" s="159"/>
      <c r="P27" s="160"/>
      <c r="Q27" s="161" t="str">
        <f t="shared" si="3"/>
        <v/>
      </c>
      <c r="R27" s="164" t="str">
        <f t="shared" si="4"/>
        <v/>
      </c>
      <c r="S27" s="163" t="str">
        <f t="shared" si="5"/>
        <v/>
      </c>
      <c r="T27" s="158"/>
      <c r="U27" s="159"/>
      <c r="V27" s="160"/>
      <c r="W27" s="165" t="str">
        <f t="shared" si="6"/>
        <v/>
      </c>
      <c r="X27" s="164" t="str">
        <f t="shared" si="7"/>
        <v/>
      </c>
      <c r="Y27" s="163" t="str">
        <f t="shared" si="8"/>
        <v/>
      </c>
      <c r="Z27" s="166" t="str">
        <f t="shared" si="9"/>
        <v/>
      </c>
      <c r="AA27" s="167" t="str">
        <f t="shared" si="10"/>
        <v/>
      </c>
      <c r="AB27" s="168"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2" t="str">
        <f t="shared" si="1"/>
        <v/>
      </c>
      <c r="M28" s="163" t="str">
        <f t="shared" si="2"/>
        <v/>
      </c>
      <c r="N28" s="158"/>
      <c r="O28" s="159"/>
      <c r="P28" s="160"/>
      <c r="Q28" s="161" t="str">
        <f t="shared" si="3"/>
        <v/>
      </c>
      <c r="R28" s="164" t="str">
        <f t="shared" si="4"/>
        <v/>
      </c>
      <c r="S28" s="163" t="str">
        <f t="shared" si="5"/>
        <v/>
      </c>
      <c r="T28" s="158"/>
      <c r="U28" s="159"/>
      <c r="V28" s="160"/>
      <c r="W28" s="165" t="str">
        <f t="shared" si="6"/>
        <v/>
      </c>
      <c r="X28" s="164" t="str">
        <f t="shared" si="7"/>
        <v/>
      </c>
      <c r="Y28" s="163" t="str">
        <f t="shared" si="8"/>
        <v/>
      </c>
      <c r="Z28" s="166" t="str">
        <f t="shared" si="9"/>
        <v/>
      </c>
      <c r="AA28" s="167" t="str">
        <f t="shared" si="10"/>
        <v/>
      </c>
      <c r="AB28" s="168"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2" t="str">
        <f t="shared" si="1"/>
        <v/>
      </c>
      <c r="M29" s="163" t="str">
        <f t="shared" si="2"/>
        <v/>
      </c>
      <c r="N29" s="158"/>
      <c r="O29" s="159"/>
      <c r="P29" s="160"/>
      <c r="Q29" s="161" t="str">
        <f t="shared" si="3"/>
        <v/>
      </c>
      <c r="R29" s="164" t="str">
        <f t="shared" si="4"/>
        <v/>
      </c>
      <c r="S29" s="163" t="str">
        <f t="shared" si="5"/>
        <v/>
      </c>
      <c r="T29" s="158"/>
      <c r="U29" s="159"/>
      <c r="V29" s="160"/>
      <c r="W29" s="165" t="str">
        <f t="shared" si="6"/>
        <v/>
      </c>
      <c r="X29" s="164" t="str">
        <f t="shared" si="7"/>
        <v/>
      </c>
      <c r="Y29" s="163" t="str">
        <f t="shared" si="8"/>
        <v/>
      </c>
      <c r="Z29" s="166" t="str">
        <f t="shared" si="9"/>
        <v/>
      </c>
      <c r="AA29" s="167" t="str">
        <f t="shared" si="10"/>
        <v/>
      </c>
      <c r="AB29" s="168"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2" t="str">
        <f t="shared" si="1"/>
        <v/>
      </c>
      <c r="M30" s="163" t="str">
        <f t="shared" si="2"/>
        <v/>
      </c>
      <c r="N30" s="158"/>
      <c r="O30" s="159"/>
      <c r="P30" s="160"/>
      <c r="Q30" s="161" t="str">
        <f t="shared" si="3"/>
        <v/>
      </c>
      <c r="R30" s="164" t="str">
        <f t="shared" si="4"/>
        <v/>
      </c>
      <c r="S30" s="163" t="str">
        <f t="shared" si="5"/>
        <v/>
      </c>
      <c r="T30" s="158"/>
      <c r="U30" s="159"/>
      <c r="V30" s="160"/>
      <c r="W30" s="165" t="str">
        <f t="shared" si="6"/>
        <v/>
      </c>
      <c r="X30" s="164" t="str">
        <f t="shared" si="7"/>
        <v/>
      </c>
      <c r="Y30" s="163" t="str">
        <f t="shared" si="8"/>
        <v/>
      </c>
      <c r="Z30" s="166" t="str">
        <f t="shared" si="9"/>
        <v/>
      </c>
      <c r="AA30" s="167" t="str">
        <f t="shared" si="10"/>
        <v/>
      </c>
      <c r="AB30" s="168"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2" t="str">
        <f t="shared" si="1"/>
        <v/>
      </c>
      <c r="M31" s="163" t="str">
        <f t="shared" si="2"/>
        <v/>
      </c>
      <c r="N31" s="158"/>
      <c r="O31" s="159"/>
      <c r="P31" s="160"/>
      <c r="Q31" s="161" t="str">
        <f t="shared" si="3"/>
        <v/>
      </c>
      <c r="R31" s="164" t="str">
        <f t="shared" si="4"/>
        <v/>
      </c>
      <c r="S31" s="163" t="str">
        <f t="shared" si="5"/>
        <v/>
      </c>
      <c r="T31" s="158"/>
      <c r="U31" s="159"/>
      <c r="V31" s="160"/>
      <c r="W31" s="165" t="str">
        <f t="shared" si="6"/>
        <v/>
      </c>
      <c r="X31" s="164" t="str">
        <f t="shared" si="7"/>
        <v/>
      </c>
      <c r="Y31" s="163" t="str">
        <f t="shared" si="8"/>
        <v/>
      </c>
      <c r="Z31" s="166" t="str">
        <f t="shared" si="9"/>
        <v/>
      </c>
      <c r="AA31" s="167" t="str">
        <f t="shared" si="10"/>
        <v/>
      </c>
      <c r="AB31" s="168"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2" t="str">
        <f t="shared" si="1"/>
        <v/>
      </c>
      <c r="M32" s="163" t="str">
        <f t="shared" si="2"/>
        <v/>
      </c>
      <c r="N32" s="158"/>
      <c r="O32" s="159"/>
      <c r="P32" s="160"/>
      <c r="Q32" s="161" t="str">
        <f t="shared" si="3"/>
        <v/>
      </c>
      <c r="R32" s="164" t="str">
        <f t="shared" si="4"/>
        <v/>
      </c>
      <c r="S32" s="163" t="str">
        <f t="shared" si="5"/>
        <v/>
      </c>
      <c r="T32" s="158"/>
      <c r="U32" s="159"/>
      <c r="V32" s="160"/>
      <c r="W32" s="165" t="str">
        <f t="shared" si="6"/>
        <v/>
      </c>
      <c r="X32" s="164" t="str">
        <f t="shared" si="7"/>
        <v/>
      </c>
      <c r="Y32" s="163" t="str">
        <f t="shared" si="8"/>
        <v/>
      </c>
      <c r="Z32" s="166" t="str">
        <f t="shared" si="9"/>
        <v/>
      </c>
      <c r="AA32" s="167" t="str">
        <f t="shared" si="10"/>
        <v/>
      </c>
      <c r="AB32" s="168"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2" t="str">
        <f t="shared" si="1"/>
        <v/>
      </c>
      <c r="M33" s="163" t="str">
        <f t="shared" si="2"/>
        <v/>
      </c>
      <c r="N33" s="158"/>
      <c r="O33" s="159"/>
      <c r="P33" s="160"/>
      <c r="Q33" s="161" t="str">
        <f t="shared" si="3"/>
        <v/>
      </c>
      <c r="R33" s="164" t="str">
        <f t="shared" si="4"/>
        <v/>
      </c>
      <c r="S33" s="163" t="str">
        <f t="shared" si="5"/>
        <v/>
      </c>
      <c r="T33" s="158"/>
      <c r="U33" s="159"/>
      <c r="V33" s="160"/>
      <c r="W33" s="165" t="str">
        <f t="shared" si="6"/>
        <v/>
      </c>
      <c r="X33" s="164" t="str">
        <f t="shared" si="7"/>
        <v/>
      </c>
      <c r="Y33" s="163" t="str">
        <f t="shared" si="8"/>
        <v/>
      </c>
      <c r="Z33" s="166" t="str">
        <f t="shared" si="9"/>
        <v/>
      </c>
      <c r="AA33" s="167" t="str">
        <f t="shared" si="10"/>
        <v/>
      </c>
      <c r="AB33" s="168"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2" t="str">
        <f t="shared" si="1"/>
        <v/>
      </c>
      <c r="M34" s="163" t="str">
        <f t="shared" si="2"/>
        <v/>
      </c>
      <c r="N34" s="158"/>
      <c r="O34" s="159"/>
      <c r="P34" s="160"/>
      <c r="Q34" s="161" t="str">
        <f t="shared" si="3"/>
        <v/>
      </c>
      <c r="R34" s="164" t="str">
        <f t="shared" si="4"/>
        <v/>
      </c>
      <c r="S34" s="163" t="str">
        <f t="shared" si="5"/>
        <v/>
      </c>
      <c r="T34" s="158"/>
      <c r="U34" s="159"/>
      <c r="V34" s="160"/>
      <c r="W34" s="165" t="str">
        <f t="shared" si="6"/>
        <v/>
      </c>
      <c r="X34" s="164" t="str">
        <f t="shared" si="7"/>
        <v/>
      </c>
      <c r="Y34" s="163" t="str">
        <f t="shared" si="8"/>
        <v/>
      </c>
      <c r="Z34" s="166" t="str">
        <f t="shared" si="9"/>
        <v/>
      </c>
      <c r="AA34" s="167" t="str">
        <f t="shared" si="10"/>
        <v/>
      </c>
      <c r="AB34" s="168"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2" t="str">
        <f t="shared" si="1"/>
        <v/>
      </c>
      <c r="M35" s="163" t="str">
        <f t="shared" si="2"/>
        <v/>
      </c>
      <c r="N35" s="158"/>
      <c r="O35" s="159"/>
      <c r="P35" s="160"/>
      <c r="Q35" s="161" t="str">
        <f t="shared" si="3"/>
        <v/>
      </c>
      <c r="R35" s="164" t="str">
        <f t="shared" si="4"/>
        <v/>
      </c>
      <c r="S35" s="163" t="str">
        <f t="shared" si="5"/>
        <v/>
      </c>
      <c r="T35" s="158"/>
      <c r="U35" s="159"/>
      <c r="V35" s="160"/>
      <c r="W35" s="165" t="str">
        <f t="shared" si="6"/>
        <v/>
      </c>
      <c r="X35" s="164" t="str">
        <f t="shared" si="7"/>
        <v/>
      </c>
      <c r="Y35" s="163" t="str">
        <f t="shared" si="8"/>
        <v/>
      </c>
      <c r="Z35" s="166" t="str">
        <f t="shared" si="9"/>
        <v/>
      </c>
      <c r="AA35" s="167" t="str">
        <f t="shared" si="10"/>
        <v/>
      </c>
      <c r="AB35" s="168"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2" t="str">
        <f t="shared" si="1"/>
        <v/>
      </c>
      <c r="M36" s="163" t="str">
        <f t="shared" si="2"/>
        <v/>
      </c>
      <c r="N36" s="158"/>
      <c r="O36" s="159"/>
      <c r="P36" s="160"/>
      <c r="Q36" s="161" t="str">
        <f t="shared" si="3"/>
        <v/>
      </c>
      <c r="R36" s="164" t="str">
        <f t="shared" si="4"/>
        <v/>
      </c>
      <c r="S36" s="163" t="str">
        <f t="shared" si="5"/>
        <v/>
      </c>
      <c r="T36" s="158"/>
      <c r="U36" s="159"/>
      <c r="V36" s="160"/>
      <c r="W36" s="165" t="str">
        <f t="shared" si="6"/>
        <v/>
      </c>
      <c r="X36" s="164" t="str">
        <f t="shared" si="7"/>
        <v/>
      </c>
      <c r="Y36" s="163" t="str">
        <f t="shared" si="8"/>
        <v/>
      </c>
      <c r="Z36" s="166" t="str">
        <f t="shared" si="9"/>
        <v/>
      </c>
      <c r="AA36" s="167" t="str">
        <f t="shared" si="10"/>
        <v/>
      </c>
      <c r="AB36" s="168"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2" t="str">
        <f t="shared" si="1"/>
        <v/>
      </c>
      <c r="M37" s="163" t="str">
        <f t="shared" si="2"/>
        <v/>
      </c>
      <c r="N37" s="158"/>
      <c r="O37" s="159"/>
      <c r="P37" s="160"/>
      <c r="Q37" s="161" t="str">
        <f t="shared" si="3"/>
        <v/>
      </c>
      <c r="R37" s="164" t="str">
        <f t="shared" si="4"/>
        <v/>
      </c>
      <c r="S37" s="163" t="str">
        <f t="shared" si="5"/>
        <v/>
      </c>
      <c r="T37" s="158"/>
      <c r="U37" s="159"/>
      <c r="V37" s="160"/>
      <c r="W37" s="165" t="str">
        <f t="shared" si="6"/>
        <v/>
      </c>
      <c r="X37" s="164" t="str">
        <f t="shared" si="7"/>
        <v/>
      </c>
      <c r="Y37" s="163" t="str">
        <f t="shared" si="8"/>
        <v/>
      </c>
      <c r="Z37" s="166" t="str">
        <f t="shared" si="9"/>
        <v/>
      </c>
      <c r="AA37" s="167" t="str">
        <f t="shared" si="10"/>
        <v/>
      </c>
      <c r="AB37" s="168"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2" t="str">
        <f t="shared" si="1"/>
        <v/>
      </c>
      <c r="M38" s="163" t="str">
        <f t="shared" si="2"/>
        <v/>
      </c>
      <c r="N38" s="158"/>
      <c r="O38" s="159"/>
      <c r="P38" s="160"/>
      <c r="Q38" s="161" t="str">
        <f t="shared" si="3"/>
        <v/>
      </c>
      <c r="R38" s="164" t="str">
        <f t="shared" si="4"/>
        <v/>
      </c>
      <c r="S38" s="163" t="str">
        <f t="shared" si="5"/>
        <v/>
      </c>
      <c r="T38" s="158"/>
      <c r="U38" s="159"/>
      <c r="V38" s="160"/>
      <c r="W38" s="165" t="str">
        <f t="shared" si="6"/>
        <v/>
      </c>
      <c r="X38" s="164" t="str">
        <f t="shared" si="7"/>
        <v/>
      </c>
      <c r="Y38" s="163" t="str">
        <f t="shared" si="8"/>
        <v/>
      </c>
      <c r="Z38" s="166" t="str">
        <f t="shared" si="9"/>
        <v/>
      </c>
      <c r="AA38" s="167" t="str">
        <f t="shared" si="10"/>
        <v/>
      </c>
      <c r="AB38" s="168"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2" t="str">
        <f t="shared" si="1"/>
        <v/>
      </c>
      <c r="M39" s="163" t="str">
        <f t="shared" si="2"/>
        <v/>
      </c>
      <c r="N39" s="158"/>
      <c r="O39" s="159"/>
      <c r="P39" s="160"/>
      <c r="Q39" s="161" t="str">
        <f t="shared" si="3"/>
        <v/>
      </c>
      <c r="R39" s="164" t="str">
        <f t="shared" si="4"/>
        <v/>
      </c>
      <c r="S39" s="163" t="str">
        <f t="shared" si="5"/>
        <v/>
      </c>
      <c r="T39" s="158"/>
      <c r="U39" s="159"/>
      <c r="V39" s="160"/>
      <c r="W39" s="165" t="str">
        <f t="shared" si="6"/>
        <v/>
      </c>
      <c r="X39" s="164" t="str">
        <f t="shared" si="7"/>
        <v/>
      </c>
      <c r="Y39" s="163" t="str">
        <f t="shared" si="8"/>
        <v/>
      </c>
      <c r="Z39" s="166" t="str">
        <f t="shared" si="9"/>
        <v/>
      </c>
      <c r="AA39" s="167" t="str">
        <f t="shared" si="10"/>
        <v/>
      </c>
      <c r="AB39" s="168"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2" t="str">
        <f t="shared" si="1"/>
        <v/>
      </c>
      <c r="M40" s="163" t="str">
        <f t="shared" si="2"/>
        <v/>
      </c>
      <c r="N40" s="158"/>
      <c r="O40" s="159"/>
      <c r="P40" s="160"/>
      <c r="Q40" s="161" t="str">
        <f t="shared" si="3"/>
        <v/>
      </c>
      <c r="R40" s="164" t="str">
        <f t="shared" si="4"/>
        <v/>
      </c>
      <c r="S40" s="163" t="str">
        <f t="shared" si="5"/>
        <v/>
      </c>
      <c r="T40" s="158"/>
      <c r="U40" s="159"/>
      <c r="V40" s="160"/>
      <c r="W40" s="165" t="str">
        <f t="shared" si="6"/>
        <v/>
      </c>
      <c r="X40" s="164" t="str">
        <f t="shared" si="7"/>
        <v/>
      </c>
      <c r="Y40" s="163" t="str">
        <f t="shared" si="8"/>
        <v/>
      </c>
      <c r="Z40" s="166" t="str">
        <f t="shared" si="9"/>
        <v/>
      </c>
      <c r="AA40" s="167" t="str">
        <f t="shared" si="10"/>
        <v/>
      </c>
      <c r="AB40" s="168"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2" t="str">
        <f t="shared" si="1"/>
        <v/>
      </c>
      <c r="M41" s="163" t="str">
        <f t="shared" si="2"/>
        <v/>
      </c>
      <c r="N41" s="158"/>
      <c r="O41" s="159"/>
      <c r="P41" s="160"/>
      <c r="Q41" s="161" t="str">
        <f t="shared" si="3"/>
        <v/>
      </c>
      <c r="R41" s="164" t="str">
        <f t="shared" si="4"/>
        <v/>
      </c>
      <c r="S41" s="163" t="str">
        <f t="shared" si="5"/>
        <v/>
      </c>
      <c r="T41" s="158"/>
      <c r="U41" s="159"/>
      <c r="V41" s="160"/>
      <c r="W41" s="165" t="str">
        <f t="shared" si="6"/>
        <v/>
      </c>
      <c r="X41" s="164" t="str">
        <f t="shared" si="7"/>
        <v/>
      </c>
      <c r="Y41" s="163" t="str">
        <f t="shared" si="8"/>
        <v/>
      </c>
      <c r="Z41" s="166" t="str">
        <f t="shared" si="9"/>
        <v/>
      </c>
      <c r="AA41" s="167" t="str">
        <f t="shared" si="10"/>
        <v/>
      </c>
      <c r="AB41" s="168"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2" t="str">
        <f t="shared" si="1"/>
        <v/>
      </c>
      <c r="M42" s="163" t="str">
        <f t="shared" si="2"/>
        <v/>
      </c>
      <c r="N42" s="158"/>
      <c r="O42" s="159"/>
      <c r="P42" s="160"/>
      <c r="Q42" s="161" t="str">
        <f t="shared" si="3"/>
        <v/>
      </c>
      <c r="R42" s="164" t="str">
        <f t="shared" si="4"/>
        <v/>
      </c>
      <c r="S42" s="163" t="str">
        <f t="shared" si="5"/>
        <v/>
      </c>
      <c r="T42" s="158"/>
      <c r="U42" s="159"/>
      <c r="V42" s="160"/>
      <c r="W42" s="165" t="str">
        <f t="shared" si="6"/>
        <v/>
      </c>
      <c r="X42" s="164" t="str">
        <f t="shared" si="7"/>
        <v/>
      </c>
      <c r="Y42" s="163" t="str">
        <f t="shared" si="8"/>
        <v/>
      </c>
      <c r="Z42" s="166" t="str">
        <f t="shared" si="9"/>
        <v/>
      </c>
      <c r="AA42" s="167" t="str">
        <f t="shared" si="10"/>
        <v/>
      </c>
      <c r="AB42" s="168"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2" t="str">
        <f t="shared" si="1"/>
        <v/>
      </c>
      <c r="M43" s="163" t="str">
        <f t="shared" si="2"/>
        <v/>
      </c>
      <c r="N43" s="158"/>
      <c r="O43" s="159"/>
      <c r="P43" s="160"/>
      <c r="Q43" s="161" t="str">
        <f t="shared" si="3"/>
        <v/>
      </c>
      <c r="R43" s="164" t="str">
        <f t="shared" si="4"/>
        <v/>
      </c>
      <c r="S43" s="163" t="str">
        <f t="shared" si="5"/>
        <v/>
      </c>
      <c r="T43" s="158"/>
      <c r="U43" s="159"/>
      <c r="V43" s="160"/>
      <c r="W43" s="165" t="str">
        <f t="shared" si="6"/>
        <v/>
      </c>
      <c r="X43" s="164" t="str">
        <f t="shared" si="7"/>
        <v/>
      </c>
      <c r="Y43" s="163" t="str">
        <f t="shared" si="8"/>
        <v/>
      </c>
      <c r="Z43" s="166" t="str">
        <f t="shared" si="9"/>
        <v/>
      </c>
      <c r="AA43" s="167" t="str">
        <f t="shared" si="10"/>
        <v/>
      </c>
      <c r="AB43" s="168"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2" t="str">
        <f t="shared" si="1"/>
        <v/>
      </c>
      <c r="M44" s="163" t="str">
        <f t="shared" si="2"/>
        <v/>
      </c>
      <c r="N44" s="158"/>
      <c r="O44" s="159"/>
      <c r="P44" s="160"/>
      <c r="Q44" s="161" t="str">
        <f t="shared" si="3"/>
        <v/>
      </c>
      <c r="R44" s="164" t="str">
        <f t="shared" si="4"/>
        <v/>
      </c>
      <c r="S44" s="163" t="str">
        <f t="shared" si="5"/>
        <v/>
      </c>
      <c r="T44" s="158"/>
      <c r="U44" s="159"/>
      <c r="V44" s="160"/>
      <c r="W44" s="165" t="str">
        <f t="shared" si="6"/>
        <v/>
      </c>
      <c r="X44" s="164" t="str">
        <f t="shared" si="7"/>
        <v/>
      </c>
      <c r="Y44" s="163" t="str">
        <f t="shared" si="8"/>
        <v/>
      </c>
      <c r="Z44" s="166" t="str">
        <f t="shared" si="9"/>
        <v/>
      </c>
      <c r="AA44" s="167" t="str">
        <f t="shared" si="10"/>
        <v/>
      </c>
      <c r="AB44" s="168"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2" t="str">
        <f t="shared" si="1"/>
        <v/>
      </c>
      <c r="M45" s="163" t="str">
        <f t="shared" si="2"/>
        <v/>
      </c>
      <c r="N45" s="158"/>
      <c r="O45" s="159"/>
      <c r="P45" s="160"/>
      <c r="Q45" s="161" t="str">
        <f t="shared" si="3"/>
        <v/>
      </c>
      <c r="R45" s="164" t="str">
        <f t="shared" si="4"/>
        <v/>
      </c>
      <c r="S45" s="163" t="str">
        <f t="shared" si="5"/>
        <v/>
      </c>
      <c r="T45" s="158"/>
      <c r="U45" s="159"/>
      <c r="V45" s="160"/>
      <c r="W45" s="165" t="str">
        <f t="shared" si="6"/>
        <v/>
      </c>
      <c r="X45" s="164" t="str">
        <f t="shared" si="7"/>
        <v/>
      </c>
      <c r="Y45" s="163" t="str">
        <f t="shared" si="8"/>
        <v/>
      </c>
      <c r="Z45" s="166" t="str">
        <f t="shared" si="9"/>
        <v/>
      </c>
      <c r="AA45" s="167" t="str">
        <f t="shared" si="10"/>
        <v/>
      </c>
      <c r="AB45" s="168"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2" t="str">
        <f t="shared" si="1"/>
        <v/>
      </c>
      <c r="M46" s="163" t="str">
        <f t="shared" si="2"/>
        <v/>
      </c>
      <c r="N46" s="158"/>
      <c r="O46" s="159"/>
      <c r="P46" s="160"/>
      <c r="Q46" s="161" t="str">
        <f t="shared" si="3"/>
        <v/>
      </c>
      <c r="R46" s="164" t="str">
        <f t="shared" si="4"/>
        <v/>
      </c>
      <c r="S46" s="163" t="str">
        <f t="shared" si="5"/>
        <v/>
      </c>
      <c r="T46" s="158"/>
      <c r="U46" s="159"/>
      <c r="V46" s="160"/>
      <c r="W46" s="165" t="str">
        <f t="shared" si="6"/>
        <v/>
      </c>
      <c r="X46" s="164" t="str">
        <f t="shared" si="7"/>
        <v/>
      </c>
      <c r="Y46" s="163" t="str">
        <f t="shared" si="8"/>
        <v/>
      </c>
      <c r="Z46" s="166" t="str">
        <f t="shared" si="9"/>
        <v/>
      </c>
      <c r="AA46" s="167" t="str">
        <f t="shared" si="10"/>
        <v/>
      </c>
      <c r="AB46" s="168"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2" t="str">
        <f t="shared" si="1"/>
        <v/>
      </c>
      <c r="M47" s="163" t="str">
        <f t="shared" si="2"/>
        <v/>
      </c>
      <c r="N47" s="158"/>
      <c r="O47" s="159"/>
      <c r="P47" s="160"/>
      <c r="Q47" s="161" t="str">
        <f t="shared" si="3"/>
        <v/>
      </c>
      <c r="R47" s="164" t="str">
        <f t="shared" si="4"/>
        <v/>
      </c>
      <c r="S47" s="163" t="str">
        <f t="shared" si="5"/>
        <v/>
      </c>
      <c r="T47" s="158"/>
      <c r="U47" s="159"/>
      <c r="V47" s="160"/>
      <c r="W47" s="165" t="str">
        <f t="shared" si="6"/>
        <v/>
      </c>
      <c r="X47" s="164" t="str">
        <f t="shared" si="7"/>
        <v/>
      </c>
      <c r="Y47" s="163" t="str">
        <f t="shared" si="8"/>
        <v/>
      </c>
      <c r="Z47" s="166" t="str">
        <f t="shared" si="9"/>
        <v/>
      </c>
      <c r="AA47" s="167" t="str">
        <f t="shared" si="10"/>
        <v/>
      </c>
      <c r="AB47" s="168"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2" t="str">
        <f t="shared" si="1"/>
        <v/>
      </c>
      <c r="M48" s="163" t="str">
        <f t="shared" si="2"/>
        <v/>
      </c>
      <c r="N48" s="158"/>
      <c r="O48" s="159"/>
      <c r="P48" s="160"/>
      <c r="Q48" s="161" t="str">
        <f t="shared" si="3"/>
        <v/>
      </c>
      <c r="R48" s="164" t="str">
        <f t="shared" si="4"/>
        <v/>
      </c>
      <c r="S48" s="163" t="str">
        <f t="shared" si="5"/>
        <v/>
      </c>
      <c r="T48" s="158"/>
      <c r="U48" s="159"/>
      <c r="V48" s="160"/>
      <c r="W48" s="165" t="str">
        <f t="shared" si="6"/>
        <v/>
      </c>
      <c r="X48" s="164" t="str">
        <f t="shared" si="7"/>
        <v/>
      </c>
      <c r="Y48" s="163" t="str">
        <f t="shared" si="8"/>
        <v/>
      </c>
      <c r="Z48" s="166" t="str">
        <f t="shared" si="9"/>
        <v/>
      </c>
      <c r="AA48" s="167" t="str">
        <f t="shared" si="10"/>
        <v/>
      </c>
      <c r="AB48" s="168"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2" t="str">
        <f t="shared" si="1"/>
        <v/>
      </c>
      <c r="M49" s="163" t="str">
        <f t="shared" si="2"/>
        <v/>
      </c>
      <c r="N49" s="158"/>
      <c r="O49" s="159"/>
      <c r="P49" s="160"/>
      <c r="Q49" s="161" t="str">
        <f t="shared" si="3"/>
        <v/>
      </c>
      <c r="R49" s="164" t="str">
        <f t="shared" si="4"/>
        <v/>
      </c>
      <c r="S49" s="163" t="str">
        <f t="shared" si="5"/>
        <v/>
      </c>
      <c r="T49" s="158"/>
      <c r="U49" s="159"/>
      <c r="V49" s="160"/>
      <c r="W49" s="165" t="str">
        <f t="shared" si="6"/>
        <v/>
      </c>
      <c r="X49" s="164" t="str">
        <f t="shared" si="7"/>
        <v/>
      </c>
      <c r="Y49" s="163" t="str">
        <f t="shared" si="8"/>
        <v/>
      </c>
      <c r="Z49" s="166" t="str">
        <f t="shared" si="9"/>
        <v/>
      </c>
      <c r="AA49" s="167" t="str">
        <f t="shared" si="10"/>
        <v/>
      </c>
      <c r="AB49" s="168"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2" t="str">
        <f t="shared" si="1"/>
        <v/>
      </c>
      <c r="M50" s="163" t="str">
        <f t="shared" si="2"/>
        <v/>
      </c>
      <c r="N50" s="158"/>
      <c r="O50" s="159"/>
      <c r="P50" s="160"/>
      <c r="Q50" s="161" t="str">
        <f t="shared" si="3"/>
        <v/>
      </c>
      <c r="R50" s="164" t="str">
        <f t="shared" si="4"/>
        <v/>
      </c>
      <c r="S50" s="163" t="str">
        <f t="shared" si="5"/>
        <v/>
      </c>
      <c r="T50" s="158"/>
      <c r="U50" s="159"/>
      <c r="V50" s="160"/>
      <c r="W50" s="165" t="str">
        <f t="shared" si="6"/>
        <v/>
      </c>
      <c r="X50" s="164" t="str">
        <f t="shared" si="7"/>
        <v/>
      </c>
      <c r="Y50" s="163" t="str">
        <f t="shared" si="8"/>
        <v/>
      </c>
      <c r="Z50" s="166" t="str">
        <f t="shared" si="9"/>
        <v/>
      </c>
      <c r="AA50" s="167" t="str">
        <f t="shared" si="10"/>
        <v/>
      </c>
      <c r="AB50" s="168"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2" t="str">
        <f t="shared" si="1"/>
        <v/>
      </c>
      <c r="M51" s="163" t="str">
        <f t="shared" si="2"/>
        <v/>
      </c>
      <c r="N51" s="158"/>
      <c r="O51" s="159"/>
      <c r="P51" s="160"/>
      <c r="Q51" s="161" t="str">
        <f t="shared" si="3"/>
        <v/>
      </c>
      <c r="R51" s="164" t="str">
        <f t="shared" si="4"/>
        <v/>
      </c>
      <c r="S51" s="163" t="str">
        <f t="shared" si="5"/>
        <v/>
      </c>
      <c r="T51" s="158"/>
      <c r="U51" s="159"/>
      <c r="V51" s="160"/>
      <c r="W51" s="165" t="str">
        <f t="shared" si="6"/>
        <v/>
      </c>
      <c r="X51" s="164" t="str">
        <f t="shared" si="7"/>
        <v/>
      </c>
      <c r="Y51" s="163" t="str">
        <f t="shared" si="8"/>
        <v/>
      </c>
      <c r="Z51" s="166" t="str">
        <f t="shared" si="9"/>
        <v/>
      </c>
      <c r="AA51" s="167" t="str">
        <f t="shared" si="10"/>
        <v/>
      </c>
      <c r="AB51" s="168"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2" t="str">
        <f t="shared" si="1"/>
        <v/>
      </c>
      <c r="M52" s="163" t="str">
        <f t="shared" si="2"/>
        <v/>
      </c>
      <c r="N52" s="158"/>
      <c r="O52" s="159"/>
      <c r="P52" s="160"/>
      <c r="Q52" s="161" t="str">
        <f t="shared" si="3"/>
        <v/>
      </c>
      <c r="R52" s="164" t="str">
        <f t="shared" si="4"/>
        <v/>
      </c>
      <c r="S52" s="163" t="str">
        <f t="shared" si="5"/>
        <v/>
      </c>
      <c r="T52" s="158"/>
      <c r="U52" s="159"/>
      <c r="V52" s="160"/>
      <c r="W52" s="165" t="str">
        <f t="shared" si="6"/>
        <v/>
      </c>
      <c r="X52" s="164" t="str">
        <f t="shared" si="7"/>
        <v/>
      </c>
      <c r="Y52" s="163" t="str">
        <f t="shared" si="8"/>
        <v/>
      </c>
      <c r="Z52" s="166" t="str">
        <f t="shared" si="9"/>
        <v/>
      </c>
      <c r="AA52" s="167" t="str">
        <f t="shared" si="10"/>
        <v/>
      </c>
      <c r="AB52" s="168"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2" t="str">
        <f t="shared" si="1"/>
        <v/>
      </c>
      <c r="M53" s="163" t="str">
        <f t="shared" si="2"/>
        <v/>
      </c>
      <c r="N53" s="158"/>
      <c r="O53" s="159"/>
      <c r="P53" s="160"/>
      <c r="Q53" s="161" t="str">
        <f t="shared" si="3"/>
        <v/>
      </c>
      <c r="R53" s="164" t="str">
        <f t="shared" si="4"/>
        <v/>
      </c>
      <c r="S53" s="163" t="str">
        <f t="shared" si="5"/>
        <v/>
      </c>
      <c r="T53" s="158"/>
      <c r="U53" s="159"/>
      <c r="V53" s="160"/>
      <c r="W53" s="165" t="str">
        <f t="shared" si="6"/>
        <v/>
      </c>
      <c r="X53" s="164" t="str">
        <f t="shared" si="7"/>
        <v/>
      </c>
      <c r="Y53" s="163" t="str">
        <f t="shared" si="8"/>
        <v/>
      </c>
      <c r="Z53" s="166" t="str">
        <f t="shared" si="9"/>
        <v/>
      </c>
      <c r="AA53" s="167" t="str">
        <f t="shared" si="10"/>
        <v/>
      </c>
      <c r="AB53" s="168"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2" t="str">
        <f t="shared" si="1"/>
        <v/>
      </c>
      <c r="M54" s="163" t="str">
        <f t="shared" si="2"/>
        <v/>
      </c>
      <c r="N54" s="158"/>
      <c r="O54" s="159"/>
      <c r="P54" s="160"/>
      <c r="Q54" s="161" t="str">
        <f t="shared" si="3"/>
        <v/>
      </c>
      <c r="R54" s="164" t="str">
        <f t="shared" si="4"/>
        <v/>
      </c>
      <c r="S54" s="163" t="str">
        <f t="shared" si="5"/>
        <v/>
      </c>
      <c r="T54" s="158"/>
      <c r="U54" s="159"/>
      <c r="V54" s="160"/>
      <c r="W54" s="165" t="str">
        <f t="shared" si="6"/>
        <v/>
      </c>
      <c r="X54" s="164" t="str">
        <f t="shared" si="7"/>
        <v/>
      </c>
      <c r="Y54" s="163" t="str">
        <f t="shared" si="8"/>
        <v/>
      </c>
      <c r="Z54" s="166" t="str">
        <f t="shared" si="9"/>
        <v/>
      </c>
      <c r="AA54" s="167" t="str">
        <f t="shared" si="10"/>
        <v/>
      </c>
      <c r="AB54" s="168"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2" t="str">
        <f t="shared" si="1"/>
        <v/>
      </c>
      <c r="M55" s="163" t="str">
        <f t="shared" si="2"/>
        <v/>
      </c>
      <c r="N55" s="158"/>
      <c r="O55" s="159"/>
      <c r="P55" s="160"/>
      <c r="Q55" s="161" t="str">
        <f t="shared" si="3"/>
        <v/>
      </c>
      <c r="R55" s="164" t="str">
        <f t="shared" si="4"/>
        <v/>
      </c>
      <c r="S55" s="163" t="str">
        <f t="shared" si="5"/>
        <v/>
      </c>
      <c r="T55" s="158"/>
      <c r="U55" s="159"/>
      <c r="V55" s="160"/>
      <c r="W55" s="165" t="str">
        <f t="shared" si="6"/>
        <v/>
      </c>
      <c r="X55" s="164" t="str">
        <f t="shared" si="7"/>
        <v/>
      </c>
      <c r="Y55" s="163" t="str">
        <f t="shared" si="8"/>
        <v/>
      </c>
      <c r="Z55" s="166" t="str">
        <f t="shared" si="9"/>
        <v/>
      </c>
      <c r="AA55" s="167" t="str">
        <f t="shared" si="10"/>
        <v/>
      </c>
      <c r="AB55" s="168"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2" t="str">
        <f t="shared" si="1"/>
        <v/>
      </c>
      <c r="M56" s="163" t="str">
        <f t="shared" si="2"/>
        <v/>
      </c>
      <c r="N56" s="158"/>
      <c r="O56" s="159"/>
      <c r="P56" s="160"/>
      <c r="Q56" s="161" t="str">
        <f t="shared" si="3"/>
        <v/>
      </c>
      <c r="R56" s="164" t="str">
        <f t="shared" si="4"/>
        <v/>
      </c>
      <c r="S56" s="163" t="str">
        <f t="shared" si="5"/>
        <v/>
      </c>
      <c r="T56" s="158"/>
      <c r="U56" s="159"/>
      <c r="V56" s="160"/>
      <c r="W56" s="165" t="str">
        <f t="shared" si="6"/>
        <v/>
      </c>
      <c r="X56" s="164" t="str">
        <f t="shared" si="7"/>
        <v/>
      </c>
      <c r="Y56" s="163" t="str">
        <f t="shared" si="8"/>
        <v/>
      </c>
      <c r="Z56" s="166" t="str">
        <f t="shared" si="9"/>
        <v/>
      </c>
      <c r="AA56" s="167" t="str">
        <f t="shared" si="10"/>
        <v/>
      </c>
      <c r="AB56" s="168"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2" t="str">
        <f t="shared" si="1"/>
        <v/>
      </c>
      <c r="M57" s="163" t="str">
        <f t="shared" si="2"/>
        <v/>
      </c>
      <c r="N57" s="158"/>
      <c r="O57" s="159"/>
      <c r="P57" s="160"/>
      <c r="Q57" s="161" t="str">
        <f t="shared" si="3"/>
        <v/>
      </c>
      <c r="R57" s="164" t="str">
        <f t="shared" si="4"/>
        <v/>
      </c>
      <c r="S57" s="163" t="str">
        <f t="shared" si="5"/>
        <v/>
      </c>
      <c r="T57" s="158"/>
      <c r="U57" s="159"/>
      <c r="V57" s="160"/>
      <c r="W57" s="165" t="str">
        <f t="shared" si="6"/>
        <v/>
      </c>
      <c r="X57" s="164" t="str">
        <f t="shared" si="7"/>
        <v/>
      </c>
      <c r="Y57" s="163" t="str">
        <f t="shared" si="8"/>
        <v/>
      </c>
      <c r="Z57" s="166" t="str">
        <f t="shared" si="9"/>
        <v/>
      </c>
      <c r="AA57" s="167" t="str">
        <f t="shared" si="10"/>
        <v/>
      </c>
      <c r="AB57" s="168"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2" t="str">
        <f t="shared" si="1"/>
        <v/>
      </c>
      <c r="M58" s="163" t="str">
        <f t="shared" si="2"/>
        <v/>
      </c>
      <c r="N58" s="158"/>
      <c r="O58" s="159"/>
      <c r="P58" s="160"/>
      <c r="Q58" s="161" t="str">
        <f t="shared" si="3"/>
        <v/>
      </c>
      <c r="R58" s="164" t="str">
        <f t="shared" si="4"/>
        <v/>
      </c>
      <c r="S58" s="163" t="str">
        <f t="shared" si="5"/>
        <v/>
      </c>
      <c r="T58" s="158"/>
      <c r="U58" s="159"/>
      <c r="V58" s="160"/>
      <c r="W58" s="165" t="str">
        <f t="shared" si="6"/>
        <v/>
      </c>
      <c r="X58" s="164" t="str">
        <f t="shared" si="7"/>
        <v/>
      </c>
      <c r="Y58" s="163" t="str">
        <f t="shared" si="8"/>
        <v/>
      </c>
      <c r="Z58" s="166" t="str">
        <f t="shared" si="9"/>
        <v/>
      </c>
      <c r="AA58" s="167" t="str">
        <f t="shared" si="10"/>
        <v/>
      </c>
      <c r="AB58" s="168"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2" t="str">
        <f t="shared" si="1"/>
        <v/>
      </c>
      <c r="M59" s="163" t="str">
        <f t="shared" si="2"/>
        <v/>
      </c>
      <c r="N59" s="158"/>
      <c r="O59" s="159"/>
      <c r="P59" s="160"/>
      <c r="Q59" s="161" t="str">
        <f t="shared" si="3"/>
        <v/>
      </c>
      <c r="R59" s="164" t="str">
        <f t="shared" si="4"/>
        <v/>
      </c>
      <c r="S59" s="163" t="str">
        <f t="shared" si="5"/>
        <v/>
      </c>
      <c r="T59" s="158"/>
      <c r="U59" s="159"/>
      <c r="V59" s="160"/>
      <c r="W59" s="165" t="str">
        <f t="shared" si="6"/>
        <v/>
      </c>
      <c r="X59" s="164" t="str">
        <f t="shared" si="7"/>
        <v/>
      </c>
      <c r="Y59" s="163" t="str">
        <f t="shared" si="8"/>
        <v/>
      </c>
      <c r="Z59" s="166" t="str">
        <f t="shared" si="9"/>
        <v/>
      </c>
      <c r="AA59" s="167" t="str">
        <f t="shared" si="10"/>
        <v/>
      </c>
      <c r="AB59" s="168"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2" t="str">
        <f t="shared" si="1"/>
        <v/>
      </c>
      <c r="M60" s="163" t="str">
        <f t="shared" si="2"/>
        <v/>
      </c>
      <c r="N60" s="158"/>
      <c r="O60" s="159"/>
      <c r="P60" s="160"/>
      <c r="Q60" s="161" t="str">
        <f t="shared" si="3"/>
        <v/>
      </c>
      <c r="R60" s="164" t="str">
        <f t="shared" si="4"/>
        <v/>
      </c>
      <c r="S60" s="163" t="str">
        <f t="shared" si="5"/>
        <v/>
      </c>
      <c r="T60" s="158"/>
      <c r="U60" s="159"/>
      <c r="V60" s="160"/>
      <c r="W60" s="165" t="str">
        <f t="shared" si="6"/>
        <v/>
      </c>
      <c r="X60" s="164" t="str">
        <f t="shared" si="7"/>
        <v/>
      </c>
      <c r="Y60" s="163" t="str">
        <f t="shared" si="8"/>
        <v/>
      </c>
      <c r="Z60" s="166" t="str">
        <f t="shared" si="9"/>
        <v/>
      </c>
      <c r="AA60" s="167" t="str">
        <f t="shared" si="10"/>
        <v/>
      </c>
      <c r="AB60" s="168"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2" t="str">
        <f t="shared" si="1"/>
        <v/>
      </c>
      <c r="M61" s="163" t="str">
        <f t="shared" si="2"/>
        <v/>
      </c>
      <c r="N61" s="158"/>
      <c r="O61" s="159"/>
      <c r="P61" s="160"/>
      <c r="Q61" s="161" t="str">
        <f t="shared" si="3"/>
        <v/>
      </c>
      <c r="R61" s="164" t="str">
        <f t="shared" si="4"/>
        <v/>
      </c>
      <c r="S61" s="163" t="str">
        <f t="shared" si="5"/>
        <v/>
      </c>
      <c r="T61" s="158"/>
      <c r="U61" s="159"/>
      <c r="V61" s="160"/>
      <c r="W61" s="165" t="str">
        <f t="shared" si="6"/>
        <v/>
      </c>
      <c r="X61" s="164" t="str">
        <f t="shared" si="7"/>
        <v/>
      </c>
      <c r="Y61" s="163" t="str">
        <f t="shared" si="8"/>
        <v/>
      </c>
      <c r="Z61" s="166" t="str">
        <f t="shared" si="9"/>
        <v/>
      </c>
      <c r="AA61" s="167" t="str">
        <f t="shared" si="10"/>
        <v/>
      </c>
      <c r="AB61" s="168"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2" t="str">
        <f t="shared" si="1"/>
        <v/>
      </c>
      <c r="M62" s="163" t="str">
        <f t="shared" si="2"/>
        <v/>
      </c>
      <c r="N62" s="158"/>
      <c r="O62" s="159"/>
      <c r="P62" s="160"/>
      <c r="Q62" s="161" t="str">
        <f t="shared" si="3"/>
        <v/>
      </c>
      <c r="R62" s="164" t="str">
        <f t="shared" si="4"/>
        <v/>
      </c>
      <c r="S62" s="163" t="str">
        <f t="shared" si="5"/>
        <v/>
      </c>
      <c r="T62" s="158"/>
      <c r="U62" s="159"/>
      <c r="V62" s="160"/>
      <c r="W62" s="165" t="str">
        <f t="shared" si="6"/>
        <v/>
      </c>
      <c r="X62" s="164" t="str">
        <f t="shared" si="7"/>
        <v/>
      </c>
      <c r="Y62" s="163" t="str">
        <f t="shared" si="8"/>
        <v/>
      </c>
      <c r="Z62" s="166" t="str">
        <f t="shared" si="9"/>
        <v/>
      </c>
      <c r="AA62" s="167" t="str">
        <f t="shared" si="10"/>
        <v/>
      </c>
      <c r="AB62" s="168"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2" t="str">
        <f t="shared" si="1"/>
        <v/>
      </c>
      <c r="M63" s="163" t="str">
        <f t="shared" si="2"/>
        <v/>
      </c>
      <c r="N63" s="158"/>
      <c r="O63" s="159"/>
      <c r="P63" s="160"/>
      <c r="Q63" s="161" t="str">
        <f t="shared" si="3"/>
        <v/>
      </c>
      <c r="R63" s="164" t="str">
        <f t="shared" si="4"/>
        <v/>
      </c>
      <c r="S63" s="163" t="str">
        <f t="shared" si="5"/>
        <v/>
      </c>
      <c r="T63" s="158"/>
      <c r="U63" s="159"/>
      <c r="V63" s="160"/>
      <c r="W63" s="165" t="str">
        <f t="shared" si="6"/>
        <v/>
      </c>
      <c r="X63" s="164" t="str">
        <f t="shared" si="7"/>
        <v/>
      </c>
      <c r="Y63" s="163" t="str">
        <f t="shared" si="8"/>
        <v/>
      </c>
      <c r="Z63" s="166" t="str">
        <f t="shared" si="9"/>
        <v/>
      </c>
      <c r="AA63" s="167" t="str">
        <f t="shared" si="10"/>
        <v/>
      </c>
      <c r="AB63" s="168"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2" t="str">
        <f t="shared" si="1"/>
        <v/>
      </c>
      <c r="M64" s="163" t="str">
        <f t="shared" si="2"/>
        <v/>
      </c>
      <c r="N64" s="158"/>
      <c r="O64" s="159"/>
      <c r="P64" s="160"/>
      <c r="Q64" s="161" t="str">
        <f t="shared" si="3"/>
        <v/>
      </c>
      <c r="R64" s="164" t="str">
        <f t="shared" si="4"/>
        <v/>
      </c>
      <c r="S64" s="163" t="str">
        <f t="shared" si="5"/>
        <v/>
      </c>
      <c r="T64" s="158"/>
      <c r="U64" s="159"/>
      <c r="V64" s="160"/>
      <c r="W64" s="165" t="str">
        <f t="shared" si="6"/>
        <v/>
      </c>
      <c r="X64" s="164" t="str">
        <f t="shared" si="7"/>
        <v/>
      </c>
      <c r="Y64" s="163" t="str">
        <f t="shared" si="8"/>
        <v/>
      </c>
      <c r="Z64" s="166" t="str">
        <f t="shared" si="9"/>
        <v/>
      </c>
      <c r="AA64" s="167" t="str">
        <f t="shared" si="10"/>
        <v/>
      </c>
      <c r="AB64" s="168"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2" t="str">
        <f t="shared" si="1"/>
        <v/>
      </c>
      <c r="M65" s="163" t="str">
        <f t="shared" si="2"/>
        <v/>
      </c>
      <c r="N65" s="158"/>
      <c r="O65" s="159"/>
      <c r="P65" s="160"/>
      <c r="Q65" s="161" t="str">
        <f t="shared" si="3"/>
        <v/>
      </c>
      <c r="R65" s="164" t="str">
        <f t="shared" si="4"/>
        <v/>
      </c>
      <c r="S65" s="163" t="str">
        <f t="shared" si="5"/>
        <v/>
      </c>
      <c r="T65" s="158"/>
      <c r="U65" s="159"/>
      <c r="V65" s="160"/>
      <c r="W65" s="165" t="str">
        <f t="shared" si="6"/>
        <v/>
      </c>
      <c r="X65" s="164" t="str">
        <f t="shared" si="7"/>
        <v/>
      </c>
      <c r="Y65" s="163" t="str">
        <f t="shared" si="8"/>
        <v/>
      </c>
      <c r="Z65" s="166" t="str">
        <f t="shared" si="9"/>
        <v/>
      </c>
      <c r="AA65" s="167" t="str">
        <f t="shared" si="10"/>
        <v/>
      </c>
      <c r="AB65" s="168"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2" t="str">
        <f t="shared" si="1"/>
        <v/>
      </c>
      <c r="M66" s="163" t="str">
        <f t="shared" si="2"/>
        <v/>
      </c>
      <c r="N66" s="158"/>
      <c r="O66" s="159"/>
      <c r="P66" s="160"/>
      <c r="Q66" s="161" t="str">
        <f t="shared" si="3"/>
        <v/>
      </c>
      <c r="R66" s="164" t="str">
        <f t="shared" si="4"/>
        <v/>
      </c>
      <c r="S66" s="163" t="str">
        <f t="shared" si="5"/>
        <v/>
      </c>
      <c r="T66" s="158"/>
      <c r="U66" s="159"/>
      <c r="V66" s="160"/>
      <c r="W66" s="165" t="str">
        <f t="shared" si="6"/>
        <v/>
      </c>
      <c r="X66" s="164" t="str">
        <f t="shared" si="7"/>
        <v/>
      </c>
      <c r="Y66" s="163" t="str">
        <f t="shared" si="8"/>
        <v/>
      </c>
      <c r="Z66" s="166" t="str">
        <f t="shared" si="9"/>
        <v/>
      </c>
      <c r="AA66" s="167" t="str">
        <f t="shared" si="10"/>
        <v/>
      </c>
      <c r="AB66" s="168"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2" t="str">
        <f t="shared" si="1"/>
        <v/>
      </c>
      <c r="M67" s="163" t="str">
        <f t="shared" si="2"/>
        <v/>
      </c>
      <c r="N67" s="171"/>
      <c r="O67" s="172"/>
      <c r="P67" s="173"/>
      <c r="Q67" s="161" t="str">
        <f t="shared" si="3"/>
        <v/>
      </c>
      <c r="R67" s="164" t="str">
        <f t="shared" si="4"/>
        <v/>
      </c>
      <c r="S67" s="163" t="str">
        <f t="shared" si="5"/>
        <v/>
      </c>
      <c r="T67" s="171"/>
      <c r="U67" s="172"/>
      <c r="V67" s="173"/>
      <c r="W67" s="165" t="str">
        <f t="shared" si="6"/>
        <v/>
      </c>
      <c r="X67" s="164" t="str">
        <f t="shared" si="7"/>
        <v/>
      </c>
      <c r="Y67" s="163" t="str">
        <f t="shared" si="8"/>
        <v/>
      </c>
      <c r="Z67" s="166" t="str">
        <f t="shared" si="9"/>
        <v/>
      </c>
      <c r="AA67" s="167" t="str">
        <f t="shared" si="10"/>
        <v/>
      </c>
      <c r="AB67" s="168"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00B050"/>
    <outlinePr summaryBelow="0" summaryRight="0"/>
    <pageSetUpPr fitToPage="1"/>
  </sheetPr>
  <dimension ref="A1:R1000"/>
  <sheetViews>
    <sheetView showGridLines="0" workbookViewId="0">
      <pane ySplit="12" topLeftCell="A13" activePane="bottomLeft" state="frozen"/>
      <selection/>
      <selection pane="bottomLeft" activeCell="B14" sqref="B14"/>
    </sheetView>
  </sheetViews>
  <sheetFormatPr defaultColWidth="12.6285714285714" defaultRowHeight="15" customHeight="1"/>
  <cols>
    <col min="1" max="2" width="3.87619047619048" customWidth="1"/>
    <col min="3" max="5" width="12.6285714285714" customWidth="1"/>
    <col min="6" max="8" width="15.1333333333333" customWidth="1"/>
    <col min="9" max="9" width="17.8761904761905" customWidth="1"/>
    <col min="10" max="10" width="21.5047619047619" customWidth="1"/>
    <col min="11" max="11" width="17.3809523809524" customWidth="1"/>
    <col min="12" max="12" width="3.87619047619048" customWidth="1"/>
    <col min="14" max="14" width="16.3809523809524" customWidth="1"/>
  </cols>
  <sheetData>
    <row r="1" ht="15.75" customHeight="1" spans="1:18">
      <c r="A1" s="44"/>
      <c r="L1" s="45"/>
      <c r="M1" s="45"/>
    </row>
    <row r="2" ht="15.75" customHeight="1" spans="1:18">
      <c r="B2" s="46" t="s">
        <v>42</v>
      </c>
      <c r="L2" s="45"/>
      <c r="M2" s="45"/>
    </row>
    <row r="3" ht="15.75" customHeight="1" spans="1:18">
      <c r="L3" s="45"/>
      <c r="M3" s="45"/>
    </row>
    <row r="4" ht="15.75" customHeight="1" spans="1:18">
      <c r="L4" s="45"/>
      <c r="M4" s="45"/>
    </row>
    <row r="5" ht="15.75" customHeight="1" spans="1:18">
      <c r="A5" s="45"/>
      <c r="B5" s="45"/>
      <c r="C5" s="47" t="s">
        <v>3</v>
      </c>
      <c r="D5" s="48" t="str">
        <f>IF('INPUT DATA'!E10="","",'INPUT DATA'!E10)</f>
        <v/>
      </c>
      <c r="E5" s="49"/>
      <c r="F5" s="47" t="s">
        <v>7</v>
      </c>
      <c r="G5" s="48" t="str">
        <f>IF('INPUT DATA'!E11="","",'INPUT DATA'!E11)</f>
        <v/>
      </c>
      <c r="H5" s="49"/>
      <c r="I5" s="47" t="s">
        <v>8</v>
      </c>
      <c r="J5" s="48" t="str">
        <f>IF('INPUT DATA'!E13="","",'INPUT DATA'!E13)</f>
        <v/>
      </c>
      <c r="K5" s="49"/>
      <c r="L5" s="45"/>
      <c r="M5" s="45"/>
    </row>
    <row r="6" ht="15.75" customHeight="1" spans="1:18">
      <c r="A6" s="45"/>
      <c r="B6" s="45"/>
      <c r="C6" s="47" t="s">
        <v>9</v>
      </c>
      <c r="D6" s="48" t="str">
        <f>IF('INPUT DATA'!E14="","",'INPUT DATA'!E14)</f>
        <v>San Jose National High School</v>
      </c>
      <c r="E6" s="50"/>
      <c r="F6" s="50"/>
      <c r="G6" s="50"/>
      <c r="H6" s="49"/>
      <c r="I6" s="47" t="s">
        <v>11</v>
      </c>
      <c r="J6" s="48" t="str">
        <f>IF('INPUT DATA'!E15="","",'INPUT DATA'!E15)</f>
        <v/>
      </c>
      <c r="K6" s="49"/>
      <c r="L6" s="45"/>
      <c r="M6" s="45"/>
    </row>
    <row r="7" ht="15.75" customHeight="1" spans="1:18">
      <c r="A7" s="45"/>
      <c r="B7" s="45"/>
      <c r="C7" s="51"/>
      <c r="D7" s="4"/>
      <c r="E7" s="45"/>
      <c r="F7" s="45"/>
      <c r="G7" s="45"/>
      <c r="H7" s="45"/>
      <c r="I7" s="51"/>
      <c r="J7" s="52"/>
      <c r="K7" s="45"/>
      <c r="L7" s="45"/>
      <c r="M7" s="45"/>
    </row>
    <row r="8" ht="15.75" customHeight="1" spans="1:18">
      <c r="A8" s="45"/>
      <c r="B8" s="53"/>
      <c r="C8" s="54"/>
      <c r="D8" s="54"/>
      <c r="E8" s="54"/>
      <c r="F8" s="54"/>
      <c r="G8" s="54"/>
      <c r="H8" s="54"/>
      <c r="I8" s="54"/>
      <c r="J8" s="54"/>
      <c r="K8" s="54"/>
      <c r="L8" s="45"/>
      <c r="M8" s="45"/>
    </row>
    <row r="9" ht="15.75" customHeight="1" spans="1:18">
      <c r="A9" s="45"/>
      <c r="B9" s="55" t="s">
        <v>17</v>
      </c>
      <c r="C9" s="49"/>
      <c r="D9" s="48" t="str">
        <f>IF('INPUT DATA'!E25="","",'INPUT DATA'!E25)</f>
        <v/>
      </c>
      <c r="E9" s="50"/>
      <c r="F9" s="50"/>
      <c r="G9" s="49"/>
      <c r="H9" s="56" t="s">
        <v>15</v>
      </c>
      <c r="I9" s="48" t="str">
        <f>IF('INPUT DATA'!E24="","",'INPUT DATA'!E24)</f>
        <v>SCIENCE</v>
      </c>
      <c r="J9" s="50"/>
      <c r="K9" s="49"/>
      <c r="L9" s="45"/>
      <c r="M9" s="45"/>
    </row>
    <row r="10" ht="15.75" customHeight="1" spans="1:18">
      <c r="A10" s="45"/>
      <c r="B10" s="55" t="s">
        <v>18</v>
      </c>
      <c r="C10" s="49"/>
      <c r="D10" s="57" t="str">
        <f>IF('INPUT DATA'!E26="","",'INPUT DATA'!E26)</f>
        <v/>
      </c>
      <c r="E10" s="9"/>
      <c r="F10" s="9"/>
      <c r="G10" s="10"/>
      <c r="H10" s="58" t="s">
        <v>23</v>
      </c>
      <c r="I10" s="48" t="str">
        <f>IF('INPUT DATA'!E23="","",'INPUT DATA'!E23)</f>
        <v/>
      </c>
      <c r="J10" s="50"/>
      <c r="K10" s="49"/>
      <c r="L10" s="45"/>
      <c r="M10" s="45"/>
    </row>
    <row r="11" ht="15.75" customHeight="1" spans="1:18">
      <c r="A11" s="45"/>
      <c r="B11" s="59" t="s">
        <v>2</v>
      </c>
      <c r="C11" s="9"/>
      <c r="D11" s="9"/>
      <c r="E11" s="9"/>
      <c r="F11" s="60" t="s">
        <v>43</v>
      </c>
      <c r="G11" s="50"/>
      <c r="H11" s="49"/>
      <c r="I11" s="61" t="s">
        <v>44</v>
      </c>
      <c r="J11" s="62" t="s">
        <v>45</v>
      </c>
      <c r="K11" s="62" t="s">
        <v>46</v>
      </c>
      <c r="L11" s="45"/>
      <c r="M11" s="45"/>
      <c r="N11" s="63"/>
      <c r="O11" s="63"/>
      <c r="P11" s="63"/>
      <c r="Q11" s="63"/>
      <c r="R11" s="63"/>
    </row>
    <row r="12" ht="15.75" customHeight="1" spans="1:18">
      <c r="A12" s="45"/>
      <c r="B12" s="64"/>
      <c r="C12" s="54"/>
      <c r="D12" s="54"/>
      <c r="E12" s="54"/>
      <c r="F12" s="65" t="s">
        <v>47</v>
      </c>
      <c r="G12" s="65" t="s">
        <v>48</v>
      </c>
      <c r="H12" s="65" t="s">
        <v>49</v>
      </c>
      <c r="I12" s="66"/>
      <c r="J12" s="67"/>
      <c r="K12" s="67"/>
      <c r="L12" s="45"/>
      <c r="M12" s="45"/>
      <c r="N12" s="63"/>
      <c r="O12" s="63"/>
      <c r="P12" s="63"/>
      <c r="Q12" s="63"/>
      <c r="R12" s="63"/>
    </row>
    <row r="13" ht="15.75" customHeight="1" spans="1:18">
      <c r="A13" s="45"/>
      <c r="B13" s="68" t="s">
        <v>5</v>
      </c>
      <c r="C13" s="50"/>
      <c r="D13" s="50"/>
      <c r="E13" s="50"/>
      <c r="F13" s="50"/>
      <c r="G13" s="50"/>
      <c r="H13" s="50"/>
      <c r="I13" s="50"/>
      <c r="J13" s="50"/>
      <c r="K13" s="49"/>
      <c r="L13" s="45"/>
      <c r="M13" s="45"/>
      <c r="N13" s="69"/>
      <c r="R13" s="63"/>
    </row>
    <row r="14" customHeight="1" spans="1:18">
      <c r="A14" s="45"/>
      <c r="B14" s="70">
        <v>1</v>
      </c>
      <c r="C14" s="71" t="str">
        <f>IF('INPUT DATA'!K11="","",'INPUT DATA'!K11)</f>
        <v/>
      </c>
      <c r="D14" s="72"/>
      <c r="E14" s="72"/>
      <c r="F14" s="73" t="str">
        <f>IF('TERM 1'!AC18="","",'TERM 1'!AC18)</f>
        <v/>
      </c>
      <c r="G14" s="73" t="str">
        <f>IF('TERM 2'!AC18="","",'TERM 2'!AC18)</f>
        <v/>
      </c>
      <c r="H14" s="74" t="str">
        <f>IF('TERM 3'!AC18="","",'TERM 3'!AC18)</f>
        <v/>
      </c>
      <c r="I14" s="75" t="str">
        <f t="shared" ref="I14:I63" si="0">IF(COUNT(F14,G14,H14)&lt;3,"",ROUND(AVERAGE(F14,G14,H14),0))</f>
        <v/>
      </c>
      <c r="J14" s="76" t="str">
        <f t="array" ref="J14">IF(I14="","",IFERROR(INDEX(HELPER!$G$8:$G$48,MATCH(I14,HELPER!$F$8:$F$48,-1)),""))</f>
        <v/>
      </c>
      <c r="K14" s="77" t="str">
        <f t="shared" ref="K14:K63" si="1">IF(I14="","",IF(I14&gt;=75,"Passed","Failed"))</f>
        <v/>
      </c>
      <c r="L14" s="45"/>
      <c r="M14" s="45"/>
      <c r="N14" s="78"/>
      <c r="O14" s="69"/>
      <c r="P14" s="69"/>
      <c r="Q14" s="69"/>
      <c r="R14" s="63"/>
    </row>
    <row r="15" customHeight="1" spans="1:18">
      <c r="A15" s="45"/>
      <c r="B15" s="79">
        <v>2</v>
      </c>
      <c r="C15" s="71" t="str">
        <f>IF('INPUT DATA'!K12="","",'INPUT DATA'!K12)</f>
        <v/>
      </c>
      <c r="D15" s="72"/>
      <c r="E15" s="72"/>
      <c r="F15" s="80" t="str">
        <f>IF('TERM 1'!AC19="","",'TERM 1'!AC19)</f>
        <v/>
      </c>
      <c r="G15" s="80" t="str">
        <f>IF('TERM 2'!AC19="","",'TERM 2'!AC19)</f>
        <v/>
      </c>
      <c r="H15" s="81" t="str">
        <f>IF('TERM 3'!AC19="","",'TERM 3'!AC19)</f>
        <v/>
      </c>
      <c r="I15" s="82" t="str">
        <f t="shared" si="0"/>
        <v/>
      </c>
      <c r="J15" s="83" t="str">
        <f t="array" ref="J15">IF(I15="","",IFERROR(INDEX(HELPER!$G$8:$G$48,MATCH(I15,HELPER!$F$8:$F$48,-1)),""))</f>
        <v/>
      </c>
      <c r="K15" s="84" t="str">
        <f t="shared" si="1"/>
        <v/>
      </c>
      <c r="L15" s="45"/>
      <c r="M15" s="45"/>
      <c r="N15" s="85"/>
      <c r="O15" s="63"/>
      <c r="P15" s="63"/>
      <c r="Q15" s="63"/>
      <c r="R15" s="63"/>
    </row>
    <row r="16" customHeight="1" spans="1:18">
      <c r="A16" s="45"/>
      <c r="B16" s="79">
        <v>3</v>
      </c>
      <c r="C16" s="71" t="str">
        <f>IF('INPUT DATA'!K13="","",'INPUT DATA'!K13)</f>
        <v/>
      </c>
      <c r="D16" s="72"/>
      <c r="E16" s="72"/>
      <c r="F16" s="80" t="str">
        <f>IF('TERM 1'!AC20="","",'TERM 1'!AC20)</f>
        <v/>
      </c>
      <c r="G16" s="80" t="str">
        <f>IF('TERM 2'!AC20="","",'TERM 2'!AC20)</f>
        <v/>
      </c>
      <c r="H16" s="81" t="str">
        <f>IF('TERM 3'!AC20="","",'TERM 3'!AC20)</f>
        <v/>
      </c>
      <c r="I16" s="82" t="str">
        <f t="shared" si="0"/>
        <v/>
      </c>
      <c r="J16" s="83" t="str">
        <f t="array" ref="J16">IF(I16="","",IFERROR(INDEX(HELPER!$G$8:$G$48,MATCH(I16,HELPER!$F$8:$F$48,-1)),""))</f>
        <v/>
      </c>
      <c r="K16" s="84" t="str">
        <f t="shared" si="1"/>
        <v/>
      </c>
      <c r="L16" s="45"/>
      <c r="M16" s="45"/>
      <c r="N16" s="85"/>
      <c r="O16" s="63"/>
      <c r="P16" s="63"/>
      <c r="Q16" s="63"/>
      <c r="R16" s="63"/>
    </row>
    <row r="17" customHeight="1" spans="1:18">
      <c r="A17" s="45"/>
      <c r="B17" s="79">
        <v>4</v>
      </c>
      <c r="C17" s="71" t="str">
        <f>IF('INPUT DATA'!K14="","",'INPUT DATA'!K14)</f>
        <v/>
      </c>
      <c r="D17" s="72"/>
      <c r="E17" s="72"/>
      <c r="F17" s="80" t="str">
        <f>IF('TERM 1'!AC21="","",'TERM 1'!AC21)</f>
        <v/>
      </c>
      <c r="G17" s="80" t="str">
        <f>IF('TERM 2'!AC21="","",'TERM 2'!AC21)</f>
        <v/>
      </c>
      <c r="H17" s="81" t="str">
        <f>IF('TERM 3'!AC21="","",'TERM 3'!AC21)</f>
        <v/>
      </c>
      <c r="I17" s="82" t="str">
        <f t="shared" si="0"/>
        <v/>
      </c>
      <c r="J17" s="83" t="str">
        <f t="array" ref="J17">IF(I17="","",IFERROR(INDEX(HELPER!$G$8:$G$48,MATCH(I17,HELPER!$F$8:$F$48,-1)),""))</f>
        <v/>
      </c>
      <c r="K17" s="84" t="str">
        <f t="shared" si="1"/>
        <v/>
      </c>
      <c r="L17" s="45"/>
      <c r="M17" s="45"/>
      <c r="N17" s="85"/>
      <c r="O17" s="63"/>
      <c r="P17" s="63"/>
      <c r="Q17" s="63"/>
      <c r="R17" s="63"/>
    </row>
    <row r="18" customHeight="1" spans="1:18">
      <c r="A18" s="45"/>
      <c r="B18" s="79">
        <v>5</v>
      </c>
      <c r="C18" s="71" t="str">
        <f>IF('INPUT DATA'!K15="","",'INPUT DATA'!K15)</f>
        <v/>
      </c>
      <c r="D18" s="72"/>
      <c r="E18" s="72"/>
      <c r="F18" s="80" t="str">
        <f>IF('TERM 1'!AC22="","",'TERM 1'!AC22)</f>
        <v/>
      </c>
      <c r="G18" s="80" t="str">
        <f>IF('TERM 2'!AC22="","",'TERM 2'!AC22)</f>
        <v/>
      </c>
      <c r="H18" s="81" t="str">
        <f>IF('TERM 3'!AC22="","",'TERM 3'!AC22)</f>
        <v/>
      </c>
      <c r="I18" s="82" t="str">
        <f t="shared" si="0"/>
        <v/>
      </c>
      <c r="J18" s="83" t="str">
        <f t="array" ref="J18">IF(I18="","",IFERROR(INDEX(HELPER!$G$8:$G$48,MATCH(I18,HELPER!$F$8:$F$48,-1)),""))</f>
        <v/>
      </c>
      <c r="K18" s="84" t="str">
        <f t="shared" si="1"/>
        <v/>
      </c>
      <c r="L18" s="45"/>
      <c r="M18" s="45"/>
      <c r="N18" s="85"/>
      <c r="O18" s="63"/>
      <c r="P18" s="63"/>
      <c r="Q18" s="63"/>
      <c r="R18" s="63"/>
    </row>
    <row r="19" customHeight="1" spans="1:18">
      <c r="A19" s="45"/>
      <c r="B19" s="79">
        <v>6</v>
      </c>
      <c r="C19" s="71" t="str">
        <f>IF('INPUT DATA'!K16="","",'INPUT DATA'!K16)</f>
        <v/>
      </c>
      <c r="D19" s="72"/>
      <c r="E19" s="72"/>
      <c r="F19" s="80" t="str">
        <f>IF('TERM 1'!AC23="","",'TERM 1'!AC23)</f>
        <v/>
      </c>
      <c r="G19" s="80" t="str">
        <f>IF('TERM 2'!AC23="","",'TERM 2'!AC23)</f>
        <v/>
      </c>
      <c r="H19" s="81" t="str">
        <f>IF('TERM 3'!AC23="","",'TERM 3'!AC23)</f>
        <v/>
      </c>
      <c r="I19" s="82" t="str">
        <f t="shared" si="0"/>
        <v/>
      </c>
      <c r="J19" s="83" t="str">
        <f t="array" ref="J19">IF(I19="","",IFERROR(INDEX(HELPER!$G$8:$G$48,MATCH(I19,HELPER!$F$8:$F$48,-1)),""))</f>
        <v/>
      </c>
      <c r="K19" s="84" t="str">
        <f t="shared" si="1"/>
        <v/>
      </c>
      <c r="L19" s="45"/>
      <c r="M19" s="45"/>
      <c r="N19" s="85"/>
      <c r="O19" s="63"/>
      <c r="P19" s="63"/>
      <c r="Q19" s="63"/>
      <c r="R19" s="63"/>
    </row>
    <row r="20" customHeight="1" spans="1:18">
      <c r="A20" s="45"/>
      <c r="B20" s="79">
        <v>7</v>
      </c>
      <c r="C20" s="71" t="str">
        <f>IF('INPUT DATA'!K17="","",'INPUT DATA'!K17)</f>
        <v/>
      </c>
      <c r="D20" s="72"/>
      <c r="E20" s="72"/>
      <c r="F20" s="80" t="str">
        <f>IF('TERM 1'!AC24="","",'TERM 1'!AC24)</f>
        <v/>
      </c>
      <c r="G20" s="80" t="str">
        <f>IF('TERM 2'!AC24="","",'TERM 2'!AC24)</f>
        <v/>
      </c>
      <c r="H20" s="81" t="str">
        <f>IF('TERM 3'!AC24="","",'TERM 3'!AC24)</f>
        <v/>
      </c>
      <c r="I20" s="82" t="str">
        <f t="shared" si="0"/>
        <v/>
      </c>
      <c r="J20" s="83" t="str">
        <f t="array" ref="J20">IF(I20="","",IFERROR(INDEX(HELPER!$G$8:$G$48,MATCH(I20,HELPER!$F$8:$F$48,-1)),""))</f>
        <v/>
      </c>
      <c r="K20" s="84" t="str">
        <f t="shared" si="1"/>
        <v/>
      </c>
      <c r="L20" s="45"/>
      <c r="M20" s="45"/>
      <c r="N20" s="63"/>
      <c r="O20" s="63"/>
      <c r="P20" s="63"/>
      <c r="Q20" s="63"/>
      <c r="R20" s="63"/>
    </row>
    <row r="21" customHeight="1" spans="1:18">
      <c r="A21" s="45"/>
      <c r="B21" s="79">
        <v>8</v>
      </c>
      <c r="C21" s="71" t="str">
        <f>IF('INPUT DATA'!K18="","",'INPUT DATA'!K18)</f>
        <v/>
      </c>
      <c r="D21" s="72"/>
      <c r="E21" s="72"/>
      <c r="F21" s="80" t="str">
        <f>IF('TERM 1'!AC25="","",'TERM 1'!AC25)</f>
        <v/>
      </c>
      <c r="G21" s="80" t="str">
        <f>IF('TERM 2'!AC25="","",'TERM 2'!AC25)</f>
        <v/>
      </c>
      <c r="H21" s="81" t="str">
        <f>IF('TERM 3'!AC25="","",'TERM 3'!AC25)</f>
        <v/>
      </c>
      <c r="I21" s="82" t="str">
        <f t="shared" si="0"/>
        <v/>
      </c>
      <c r="J21" s="83" t="str">
        <f t="array" ref="J21">IF(I21="","",IFERROR(INDEX(HELPER!$G$8:$G$48,MATCH(I21,HELPER!$F$8:$F$48,-1)),""))</f>
        <v/>
      </c>
      <c r="K21" s="84" t="str">
        <f t="shared" si="1"/>
        <v/>
      </c>
      <c r="L21" s="45"/>
      <c r="M21" s="45"/>
      <c r="N21" s="63"/>
      <c r="O21" s="63"/>
      <c r="P21" s="63"/>
      <c r="Q21" s="63"/>
      <c r="R21" s="63"/>
    </row>
    <row r="22" customHeight="1" spans="1:18">
      <c r="A22" s="45"/>
      <c r="B22" s="79">
        <v>9</v>
      </c>
      <c r="C22" s="71" t="str">
        <f>IF('INPUT DATA'!K19="","",'INPUT DATA'!K19)</f>
        <v/>
      </c>
      <c r="D22" s="72"/>
      <c r="E22" s="72"/>
      <c r="F22" s="80" t="str">
        <f>IF('TERM 1'!AC26="","",'TERM 1'!AC26)</f>
        <v/>
      </c>
      <c r="G22" s="80" t="str">
        <f>IF('TERM 2'!AC26="","",'TERM 2'!AC26)</f>
        <v/>
      </c>
      <c r="H22" s="81" t="str">
        <f>IF('TERM 3'!AC26="","",'TERM 3'!AC26)</f>
        <v/>
      </c>
      <c r="I22" s="82" t="str">
        <f t="shared" si="0"/>
        <v/>
      </c>
      <c r="J22" s="83" t="str">
        <f t="array" ref="J22">IF(I22="","",IFERROR(INDEX(HELPER!$G$8:$G$48,MATCH(I22,HELPER!$F$8:$F$48,-1)),""))</f>
        <v/>
      </c>
      <c r="K22" s="84" t="str">
        <f t="shared" si="1"/>
        <v/>
      </c>
      <c r="L22" s="45"/>
      <c r="M22" s="45"/>
      <c r="N22" s="63"/>
      <c r="O22" s="63"/>
      <c r="P22" s="63"/>
      <c r="Q22" s="63"/>
      <c r="R22" s="63"/>
    </row>
    <row r="23" customHeight="1" spans="1:18">
      <c r="A23" s="45"/>
      <c r="B23" s="79">
        <v>10</v>
      </c>
      <c r="C23" s="71" t="str">
        <f>IF('INPUT DATA'!K20="","",'INPUT DATA'!K20)</f>
        <v/>
      </c>
      <c r="D23" s="72"/>
      <c r="E23" s="72"/>
      <c r="F23" s="80" t="str">
        <f>IF('TERM 1'!AC27="","",'TERM 1'!AC27)</f>
        <v/>
      </c>
      <c r="G23" s="80" t="str">
        <f>IF('TERM 2'!AC27="","",'TERM 2'!AC27)</f>
        <v/>
      </c>
      <c r="H23" s="81" t="str">
        <f>IF('TERM 3'!AC27="","",'TERM 3'!AC27)</f>
        <v/>
      </c>
      <c r="I23" s="82" t="str">
        <f t="shared" si="0"/>
        <v/>
      </c>
      <c r="J23" s="83" t="str">
        <f t="array" ref="J23">IF(I23="","",IFERROR(INDEX(HELPER!$G$8:$G$48,MATCH(I23,HELPER!$F$8:$F$48,-1)),""))</f>
        <v/>
      </c>
      <c r="K23" s="84" t="str">
        <f t="shared" si="1"/>
        <v/>
      </c>
      <c r="L23" s="45"/>
      <c r="M23" s="45"/>
    </row>
    <row r="24" customHeight="1" spans="1:18">
      <c r="A24" s="45"/>
      <c r="B24" s="79">
        <v>11</v>
      </c>
      <c r="C24" s="71" t="str">
        <f>IF('INPUT DATA'!K21="","",'INPUT DATA'!K21)</f>
        <v/>
      </c>
      <c r="D24" s="72"/>
      <c r="E24" s="72"/>
      <c r="F24" s="80" t="str">
        <f>IF('TERM 1'!AC28="","",'TERM 1'!AC28)</f>
        <v/>
      </c>
      <c r="G24" s="80" t="str">
        <f>IF('TERM 2'!AC28="","",'TERM 2'!AC28)</f>
        <v/>
      </c>
      <c r="H24" s="81" t="str">
        <f>IF('TERM 3'!AC28="","",'TERM 3'!AC28)</f>
        <v/>
      </c>
      <c r="I24" s="82" t="str">
        <f t="shared" si="0"/>
        <v/>
      </c>
      <c r="J24" s="83" t="str">
        <f t="array" ref="J24">IF(I24="","",IFERROR(INDEX(HELPER!$G$8:$G$48,MATCH(I24,HELPER!$F$8:$F$48,-1)),""))</f>
        <v/>
      </c>
      <c r="K24" s="84" t="str">
        <f t="shared" si="1"/>
        <v/>
      </c>
      <c r="L24" s="45"/>
      <c r="M24" s="45"/>
    </row>
    <row r="25" customHeight="1" spans="1:18">
      <c r="A25" s="45"/>
      <c r="B25" s="79">
        <v>12</v>
      </c>
      <c r="C25" s="71" t="str">
        <f>IF('INPUT DATA'!K22="","",'INPUT DATA'!K22)</f>
        <v/>
      </c>
      <c r="D25" s="72"/>
      <c r="E25" s="72"/>
      <c r="F25" s="80" t="str">
        <f>IF('TERM 1'!AC29="","",'TERM 1'!AC29)</f>
        <v/>
      </c>
      <c r="G25" s="80" t="str">
        <f>IF('TERM 2'!AC29="","",'TERM 2'!AC29)</f>
        <v/>
      </c>
      <c r="H25" s="81" t="str">
        <f>IF('TERM 3'!AC29="","",'TERM 3'!AC29)</f>
        <v/>
      </c>
      <c r="I25" s="82" t="str">
        <f t="shared" si="0"/>
        <v/>
      </c>
      <c r="J25" s="83" t="str">
        <f t="array" ref="J25">IF(I25="","",IFERROR(INDEX(HELPER!$G$8:$G$48,MATCH(I25,HELPER!$F$8:$F$48,-1)),""))</f>
        <v/>
      </c>
      <c r="K25" s="84" t="str">
        <f t="shared" si="1"/>
        <v/>
      </c>
      <c r="L25" s="45"/>
      <c r="M25" s="45"/>
    </row>
    <row r="26" customHeight="1" spans="1:18">
      <c r="A26" s="45"/>
      <c r="B26" s="79">
        <v>13</v>
      </c>
      <c r="C26" s="71" t="str">
        <f>IF('INPUT DATA'!K23="","",'INPUT DATA'!K23)</f>
        <v/>
      </c>
      <c r="D26" s="72"/>
      <c r="E26" s="72"/>
      <c r="F26" s="80" t="str">
        <f>IF('TERM 1'!AC30="","",'TERM 1'!AC30)</f>
        <v/>
      </c>
      <c r="G26" s="80" t="str">
        <f>IF('TERM 2'!AC30="","",'TERM 2'!AC30)</f>
        <v/>
      </c>
      <c r="H26" s="81" t="str">
        <f>IF('TERM 3'!AC30="","",'TERM 3'!AC30)</f>
        <v/>
      </c>
      <c r="I26" s="82" t="str">
        <f t="shared" si="0"/>
        <v/>
      </c>
      <c r="J26" s="83" t="str">
        <f t="array" ref="J26">IF(I26="","",IFERROR(INDEX(HELPER!$G$8:$G$48,MATCH(I26,HELPER!$F$8:$F$48,-1)),""))</f>
        <v/>
      </c>
      <c r="K26" s="84" t="str">
        <f t="shared" si="1"/>
        <v/>
      </c>
      <c r="L26" s="45"/>
      <c r="M26" s="45"/>
    </row>
    <row r="27" customHeight="1" spans="1:18">
      <c r="A27" s="45"/>
      <c r="B27" s="79">
        <v>14</v>
      </c>
      <c r="C27" s="71" t="str">
        <f>IF('INPUT DATA'!K24="","",'INPUT DATA'!K24)</f>
        <v/>
      </c>
      <c r="D27" s="72"/>
      <c r="E27" s="72"/>
      <c r="F27" s="80" t="str">
        <f>IF('TERM 1'!AC31="","",'TERM 1'!AC31)</f>
        <v/>
      </c>
      <c r="G27" s="80" t="str">
        <f>IF('TERM 2'!AC31="","",'TERM 2'!AC31)</f>
        <v/>
      </c>
      <c r="H27" s="81" t="str">
        <f>IF('TERM 3'!AC31="","",'TERM 3'!AC31)</f>
        <v/>
      </c>
      <c r="I27" s="82" t="str">
        <f t="shared" si="0"/>
        <v/>
      </c>
      <c r="J27" s="83" t="str">
        <f t="array" ref="J27">IF(I27="","",IFERROR(INDEX(HELPER!$G$8:$G$48,MATCH(I27,HELPER!$F$8:$F$48,-1)),""))</f>
        <v/>
      </c>
      <c r="K27" s="84" t="str">
        <f t="shared" si="1"/>
        <v/>
      </c>
      <c r="L27" s="45"/>
      <c r="M27" s="45"/>
    </row>
    <row r="28" customHeight="1" spans="1:18">
      <c r="A28" s="45"/>
      <c r="B28" s="79">
        <v>15</v>
      </c>
      <c r="C28" s="71" t="str">
        <f>IF('INPUT DATA'!K25="","",'INPUT DATA'!K25)</f>
        <v/>
      </c>
      <c r="D28" s="72"/>
      <c r="E28" s="72"/>
      <c r="F28" s="80" t="str">
        <f>IF('TERM 1'!AC32="","",'TERM 1'!AC32)</f>
        <v/>
      </c>
      <c r="G28" s="80" t="str">
        <f>IF('TERM 2'!AC32="","",'TERM 2'!AC32)</f>
        <v/>
      </c>
      <c r="H28" s="81" t="str">
        <f>IF('TERM 3'!AC32="","",'TERM 3'!AC32)</f>
        <v/>
      </c>
      <c r="I28" s="82" t="str">
        <f t="shared" si="0"/>
        <v/>
      </c>
      <c r="J28" s="83" t="str">
        <f t="array" ref="J28">IF(I28="","",IFERROR(INDEX(HELPER!$G$8:$G$48,MATCH(I28,HELPER!$F$8:$F$48,-1)),""))</f>
        <v/>
      </c>
      <c r="K28" s="84" t="str">
        <f t="shared" si="1"/>
        <v/>
      </c>
      <c r="L28" s="45"/>
      <c r="M28" s="45"/>
    </row>
    <row r="29" customHeight="1" spans="1:18">
      <c r="A29" s="45"/>
      <c r="B29" s="79">
        <v>16</v>
      </c>
      <c r="C29" s="71" t="str">
        <f>IF('INPUT DATA'!K26="","",'INPUT DATA'!K26)</f>
        <v/>
      </c>
      <c r="D29" s="72"/>
      <c r="E29" s="72"/>
      <c r="F29" s="80" t="str">
        <f>IF('TERM 1'!AC33="","",'TERM 1'!AC33)</f>
        <v/>
      </c>
      <c r="G29" s="80" t="str">
        <f>IF('TERM 2'!AC33="","",'TERM 2'!AC33)</f>
        <v/>
      </c>
      <c r="H29" s="81" t="str">
        <f>IF('TERM 3'!AC33="","",'TERM 3'!AC33)</f>
        <v/>
      </c>
      <c r="I29" s="82" t="str">
        <f t="shared" si="0"/>
        <v/>
      </c>
      <c r="J29" s="83" t="str">
        <f t="array" ref="J29">IF(I29="","",IFERROR(INDEX(HELPER!$G$8:$G$48,MATCH(I29,HELPER!$F$8:$F$48,-1)),""))</f>
        <v/>
      </c>
      <c r="K29" s="84" t="str">
        <f t="shared" si="1"/>
        <v/>
      </c>
      <c r="L29" s="45"/>
      <c r="M29" s="45"/>
    </row>
    <row r="30" customHeight="1" spans="1:18">
      <c r="A30" s="45"/>
      <c r="B30" s="79">
        <v>17</v>
      </c>
      <c r="C30" s="71" t="str">
        <f>IF('INPUT DATA'!K27="","",'INPUT DATA'!K27)</f>
        <v/>
      </c>
      <c r="D30" s="72"/>
      <c r="E30" s="72"/>
      <c r="F30" s="80" t="str">
        <f>IF('TERM 1'!AC34="","",'TERM 1'!AC34)</f>
        <v/>
      </c>
      <c r="G30" s="80" t="str">
        <f>IF('TERM 2'!AC34="","",'TERM 2'!AC34)</f>
        <v/>
      </c>
      <c r="H30" s="81" t="str">
        <f>IF('TERM 3'!AC34="","",'TERM 3'!AC34)</f>
        <v/>
      </c>
      <c r="I30" s="82" t="str">
        <f t="shared" si="0"/>
        <v/>
      </c>
      <c r="J30" s="83" t="str">
        <f t="array" ref="J30">IF(I30="","",IFERROR(INDEX(HELPER!$G$8:$G$48,MATCH(I30,HELPER!$F$8:$F$48,-1)),""))</f>
        <v/>
      </c>
      <c r="K30" s="84" t="str">
        <f t="shared" si="1"/>
        <v/>
      </c>
      <c r="L30" s="45"/>
      <c r="M30" s="45"/>
    </row>
    <row r="31" customHeight="1" spans="1:18">
      <c r="A31" s="45"/>
      <c r="B31" s="79">
        <v>18</v>
      </c>
      <c r="C31" s="71" t="str">
        <f>IF('INPUT DATA'!K28="","",'INPUT DATA'!K28)</f>
        <v/>
      </c>
      <c r="D31" s="72"/>
      <c r="E31" s="72"/>
      <c r="F31" s="80" t="str">
        <f>IF('TERM 1'!AC35="","",'TERM 1'!AC35)</f>
        <v/>
      </c>
      <c r="G31" s="80" t="str">
        <f>IF('TERM 2'!AC35="","",'TERM 2'!AC35)</f>
        <v/>
      </c>
      <c r="H31" s="81" t="str">
        <f>IF('TERM 3'!AC35="","",'TERM 3'!AC35)</f>
        <v/>
      </c>
      <c r="I31" s="82" t="str">
        <f t="shared" si="0"/>
        <v/>
      </c>
      <c r="J31" s="83" t="str">
        <f t="array" ref="J31">IF(I31="","",IFERROR(INDEX(HELPER!$G$8:$G$48,MATCH(I31,HELPER!$F$8:$F$48,-1)),""))</f>
        <v/>
      </c>
      <c r="K31" s="84" t="str">
        <f t="shared" si="1"/>
        <v/>
      </c>
      <c r="L31" s="45"/>
      <c r="M31" s="45"/>
    </row>
    <row r="32" customHeight="1" spans="1:18">
      <c r="A32" s="45"/>
      <c r="B32" s="79">
        <v>19</v>
      </c>
      <c r="C32" s="71" t="str">
        <f>IF('INPUT DATA'!K29="","",'INPUT DATA'!K29)</f>
        <v/>
      </c>
      <c r="D32" s="72"/>
      <c r="E32" s="72"/>
      <c r="F32" s="80" t="str">
        <f>IF('TERM 1'!AC36="","",'TERM 1'!AC36)</f>
        <v/>
      </c>
      <c r="G32" s="80" t="str">
        <f>IF('TERM 2'!AC36="","",'TERM 2'!AC36)</f>
        <v/>
      </c>
      <c r="H32" s="81" t="str">
        <f>IF('TERM 3'!AC36="","",'TERM 3'!AC36)</f>
        <v/>
      </c>
      <c r="I32" s="82" t="str">
        <f t="shared" si="0"/>
        <v/>
      </c>
      <c r="J32" s="83" t="str">
        <f t="array" ref="J32">IF(I32="","",IFERROR(INDEX(HELPER!$G$8:$G$48,MATCH(I32,HELPER!$F$8:$F$48,-1)),""))</f>
        <v/>
      </c>
      <c r="K32" s="84" t="str">
        <f t="shared" si="1"/>
        <v/>
      </c>
      <c r="L32" s="45"/>
      <c r="M32" s="45"/>
    </row>
    <row r="33" customHeight="1" spans="1:13">
      <c r="A33" s="45"/>
      <c r="B33" s="86">
        <v>20</v>
      </c>
      <c r="C33" s="71" t="str">
        <f>IF('INPUT DATA'!K30="","",'INPUT DATA'!K30)</f>
        <v/>
      </c>
      <c r="D33" s="72"/>
      <c r="E33" s="72"/>
      <c r="F33" s="80" t="str">
        <f>IF('TERM 1'!AC37="","",'TERM 1'!AC37)</f>
        <v/>
      </c>
      <c r="G33" s="80" t="str">
        <f>IF('TERM 2'!AC37="","",'TERM 2'!AC37)</f>
        <v/>
      </c>
      <c r="H33" s="81" t="str">
        <f>IF('TERM 3'!AC37="","",'TERM 3'!AC37)</f>
        <v/>
      </c>
      <c r="I33" s="82" t="str">
        <f t="shared" si="0"/>
        <v/>
      </c>
      <c r="J33" s="83" t="str">
        <f t="array" ref="J33">IF(I33="","",IFERROR(INDEX(HELPER!$G$8:$G$48,MATCH(I33,HELPER!$F$8:$F$48,-1)),""))</f>
        <v/>
      </c>
      <c r="K33" s="84" t="str">
        <f t="shared" si="1"/>
        <v/>
      </c>
      <c r="L33" s="45"/>
      <c r="M33" s="45"/>
    </row>
    <row r="34" customHeight="1" spans="1:13">
      <c r="A34" s="45"/>
      <c r="B34" s="86">
        <v>21</v>
      </c>
      <c r="C34" s="71" t="str">
        <f>IF('INPUT DATA'!K31="","",'INPUT DATA'!K31)</f>
        <v/>
      </c>
      <c r="D34" s="72"/>
      <c r="E34" s="72"/>
      <c r="F34" s="80" t="str">
        <f>IF('TERM 1'!AC38="","",'TERM 1'!AC38)</f>
        <v/>
      </c>
      <c r="G34" s="80" t="str">
        <f>IF('TERM 2'!AC38="","",'TERM 2'!AC38)</f>
        <v/>
      </c>
      <c r="H34" s="81" t="str">
        <f>IF('TERM 3'!AC38="","",'TERM 3'!AC38)</f>
        <v/>
      </c>
      <c r="I34" s="82" t="str">
        <f t="shared" si="0"/>
        <v/>
      </c>
      <c r="J34" s="83" t="str">
        <f t="array" ref="J34">IF(I34="","",IFERROR(INDEX(HELPER!$G$8:$G$48,MATCH(I34,HELPER!$F$8:$F$48,-1)),""))</f>
        <v/>
      </c>
      <c r="K34" s="84" t="str">
        <f t="shared" si="1"/>
        <v/>
      </c>
      <c r="L34" s="45"/>
      <c r="M34" s="45"/>
    </row>
    <row r="35" customHeight="1" spans="1:13">
      <c r="A35" s="45"/>
      <c r="B35" s="86">
        <v>22</v>
      </c>
      <c r="C35" s="71" t="str">
        <f>IF('INPUT DATA'!K32="","",'INPUT DATA'!K32)</f>
        <v/>
      </c>
      <c r="D35" s="72"/>
      <c r="E35" s="72"/>
      <c r="F35" s="80" t="str">
        <f>IF('TERM 1'!AC39="","",'TERM 1'!AC39)</f>
        <v/>
      </c>
      <c r="G35" s="80" t="str">
        <f>IF('TERM 2'!AC39="","",'TERM 2'!AC39)</f>
        <v/>
      </c>
      <c r="H35" s="81" t="str">
        <f>IF('TERM 3'!AC39="","",'TERM 3'!AC39)</f>
        <v/>
      </c>
      <c r="I35" s="82" t="str">
        <f t="shared" si="0"/>
        <v/>
      </c>
      <c r="J35" s="83" t="str">
        <f t="array" ref="J35">IF(I35="","",IFERROR(INDEX(HELPER!$G$8:$G$48,MATCH(I35,HELPER!$F$8:$F$48,-1)),""))</f>
        <v/>
      </c>
      <c r="K35" s="84" t="str">
        <f t="shared" si="1"/>
        <v/>
      </c>
      <c r="L35" s="45"/>
      <c r="M35" s="45"/>
    </row>
    <row r="36" customHeight="1" spans="1:13">
      <c r="A36" s="45"/>
      <c r="B36" s="86">
        <v>23</v>
      </c>
      <c r="C36" s="71" t="str">
        <f>IF('INPUT DATA'!K33="","",'INPUT DATA'!K33)</f>
        <v/>
      </c>
      <c r="D36" s="72"/>
      <c r="E36" s="72"/>
      <c r="F36" s="80" t="str">
        <f>IF('TERM 1'!AC40="","",'TERM 1'!AC40)</f>
        <v/>
      </c>
      <c r="G36" s="80" t="str">
        <f>IF('TERM 2'!AC40="","",'TERM 2'!AC40)</f>
        <v/>
      </c>
      <c r="H36" s="81" t="str">
        <f>IF('TERM 3'!AC40="","",'TERM 3'!AC40)</f>
        <v/>
      </c>
      <c r="I36" s="82" t="str">
        <f t="shared" si="0"/>
        <v/>
      </c>
      <c r="J36" s="83" t="str">
        <f t="array" ref="J36">IF(I36="","",IFERROR(INDEX(HELPER!$G$8:$G$48,MATCH(I36,HELPER!$F$8:$F$48,-1)),""))</f>
        <v/>
      </c>
      <c r="K36" s="84" t="str">
        <f t="shared" si="1"/>
        <v/>
      </c>
      <c r="L36" s="45"/>
      <c r="M36" s="45"/>
    </row>
    <row r="37" customHeight="1" spans="1:13">
      <c r="A37" s="45"/>
      <c r="B37" s="86">
        <v>24</v>
      </c>
      <c r="C37" s="71" t="str">
        <f>IF('INPUT DATA'!K34="","",'INPUT DATA'!K34)</f>
        <v/>
      </c>
      <c r="D37" s="72"/>
      <c r="E37" s="72"/>
      <c r="F37" s="80" t="str">
        <f>IF('TERM 1'!AC41="","",'TERM 1'!AC41)</f>
        <v/>
      </c>
      <c r="G37" s="80" t="str">
        <f>IF('TERM 2'!AC41="","",'TERM 2'!AC41)</f>
        <v/>
      </c>
      <c r="H37" s="81" t="str">
        <f>IF('TERM 3'!AC41="","",'TERM 3'!AC41)</f>
        <v/>
      </c>
      <c r="I37" s="82" t="str">
        <f t="shared" si="0"/>
        <v/>
      </c>
      <c r="J37" s="83" t="str">
        <f t="array" ref="J37">IF(I37="","",IFERROR(INDEX(HELPER!$G$8:$G$48,MATCH(I37,HELPER!$F$8:$F$48,-1)),""))</f>
        <v/>
      </c>
      <c r="K37" s="84" t="str">
        <f t="shared" si="1"/>
        <v/>
      </c>
      <c r="L37" s="45"/>
      <c r="M37" s="45"/>
    </row>
    <row r="38" customHeight="1" spans="1:13">
      <c r="A38" s="45"/>
      <c r="B38" s="86">
        <v>25</v>
      </c>
      <c r="C38" s="71" t="str">
        <f>IF('INPUT DATA'!K35="","",'INPUT DATA'!K35)</f>
        <v/>
      </c>
      <c r="D38" s="72"/>
      <c r="E38" s="72"/>
      <c r="F38" s="80" t="str">
        <f>IF('TERM 1'!AC42="","",'TERM 1'!AC42)</f>
        <v/>
      </c>
      <c r="G38" s="80" t="str">
        <f>IF('TERM 2'!AC42="","",'TERM 2'!AC42)</f>
        <v/>
      </c>
      <c r="H38" s="81" t="str">
        <f>IF('TERM 3'!AC42="","",'TERM 3'!AC42)</f>
        <v/>
      </c>
      <c r="I38" s="82" t="str">
        <f t="shared" si="0"/>
        <v/>
      </c>
      <c r="J38" s="83" t="str">
        <f t="array" ref="J38">IF(I38="","",IFERROR(INDEX(HELPER!$G$8:$G$48,MATCH(I38,HELPER!$F$8:$F$48,-1)),""))</f>
        <v/>
      </c>
      <c r="K38" s="84" t="str">
        <f t="shared" si="1"/>
        <v/>
      </c>
      <c r="L38" s="45"/>
      <c r="M38" s="45"/>
    </row>
    <row r="39" customHeight="1" spans="1:13">
      <c r="A39" s="45"/>
      <c r="B39" s="86">
        <v>26</v>
      </c>
      <c r="C39" s="71" t="str">
        <f>IF('INPUT DATA'!K36="","",'INPUT DATA'!K36)</f>
        <v/>
      </c>
      <c r="D39" s="72"/>
      <c r="E39" s="72"/>
      <c r="F39" s="80" t="str">
        <f>IF('TERM 1'!AC43="","",'TERM 1'!AC43)</f>
        <v/>
      </c>
      <c r="G39" s="80" t="str">
        <f>IF('TERM 2'!AC43="","",'TERM 2'!AC43)</f>
        <v/>
      </c>
      <c r="H39" s="81" t="str">
        <f>IF('TERM 3'!AC43="","",'TERM 3'!AC43)</f>
        <v/>
      </c>
      <c r="I39" s="82" t="str">
        <f t="shared" si="0"/>
        <v/>
      </c>
      <c r="J39" s="83" t="str">
        <f t="array" ref="J39">IF(I39="","",IFERROR(INDEX(HELPER!$G$8:$G$48,MATCH(I39,HELPER!$F$8:$F$48,-1)),""))</f>
        <v/>
      </c>
      <c r="K39" s="84" t="str">
        <f t="shared" si="1"/>
        <v/>
      </c>
      <c r="L39" s="45"/>
      <c r="M39" s="45"/>
    </row>
    <row r="40" customHeight="1" spans="1:13">
      <c r="A40" s="45"/>
      <c r="B40" s="86">
        <v>27</v>
      </c>
      <c r="C40" s="71" t="str">
        <f>IF('INPUT DATA'!K37="","",'INPUT DATA'!K37)</f>
        <v/>
      </c>
      <c r="D40" s="72"/>
      <c r="E40" s="72"/>
      <c r="F40" s="80" t="str">
        <f>IF('TERM 1'!AC44="","",'TERM 1'!AC44)</f>
        <v/>
      </c>
      <c r="G40" s="80" t="str">
        <f>IF('TERM 2'!AC44="","",'TERM 2'!AC44)</f>
        <v/>
      </c>
      <c r="H40" s="81" t="str">
        <f>IF('TERM 3'!AC44="","",'TERM 3'!AC44)</f>
        <v/>
      </c>
      <c r="I40" s="82" t="str">
        <f t="shared" si="0"/>
        <v/>
      </c>
      <c r="J40" s="83" t="str">
        <f t="array" ref="J40">IF(I40="","",IFERROR(INDEX(HELPER!$G$8:$G$48,MATCH(I40,HELPER!$F$8:$F$48,-1)),""))</f>
        <v/>
      </c>
      <c r="K40" s="84" t="str">
        <f t="shared" si="1"/>
        <v/>
      </c>
      <c r="L40" s="45"/>
      <c r="M40" s="45"/>
    </row>
    <row r="41" customHeight="1" spans="1:13">
      <c r="A41" s="45"/>
      <c r="B41" s="86">
        <v>28</v>
      </c>
      <c r="C41" s="71" t="str">
        <f>IF('INPUT DATA'!K38="","",'INPUT DATA'!K38)</f>
        <v/>
      </c>
      <c r="D41" s="72"/>
      <c r="E41" s="72"/>
      <c r="F41" s="80" t="str">
        <f>IF('TERM 1'!AC45="","",'TERM 1'!AC45)</f>
        <v/>
      </c>
      <c r="G41" s="80" t="str">
        <f>IF('TERM 2'!AC45="","",'TERM 2'!AC45)</f>
        <v/>
      </c>
      <c r="H41" s="81" t="str">
        <f>IF('TERM 3'!AC45="","",'TERM 3'!AC45)</f>
        <v/>
      </c>
      <c r="I41" s="82" t="str">
        <f t="shared" si="0"/>
        <v/>
      </c>
      <c r="J41" s="83" t="str">
        <f t="array" ref="J41">IF(I41="","",IFERROR(INDEX(HELPER!$G$8:$G$48,MATCH(I41,HELPER!$F$8:$F$48,-1)),""))</f>
        <v/>
      </c>
      <c r="K41" s="84" t="str">
        <f t="shared" si="1"/>
        <v/>
      </c>
      <c r="L41" s="45"/>
      <c r="M41" s="45"/>
    </row>
    <row r="42" customHeight="1" spans="1:13">
      <c r="A42" s="45"/>
      <c r="B42" s="86">
        <v>29</v>
      </c>
      <c r="C42" s="71" t="str">
        <f>IF('INPUT DATA'!K39="","",'INPUT DATA'!K39)</f>
        <v/>
      </c>
      <c r="D42" s="72"/>
      <c r="E42" s="72"/>
      <c r="F42" s="80" t="str">
        <f>IF('TERM 1'!AC46="","",'TERM 1'!AC46)</f>
        <v/>
      </c>
      <c r="G42" s="80" t="str">
        <f>IF('TERM 2'!AC46="","",'TERM 2'!AC46)</f>
        <v/>
      </c>
      <c r="H42" s="81" t="str">
        <f>IF('TERM 3'!AC46="","",'TERM 3'!AC46)</f>
        <v/>
      </c>
      <c r="I42" s="82" t="str">
        <f t="shared" si="0"/>
        <v/>
      </c>
      <c r="J42" s="83" t="str">
        <f t="array" ref="J42">IF(I42="","",IFERROR(INDEX(HELPER!$G$8:$G$48,MATCH(I42,HELPER!$F$8:$F$48,-1)),""))</f>
        <v/>
      </c>
      <c r="K42" s="84" t="str">
        <f t="shared" si="1"/>
        <v/>
      </c>
      <c r="L42" s="45"/>
      <c r="M42" s="45"/>
    </row>
    <row r="43" customHeight="1" spans="1:13">
      <c r="A43" s="45"/>
      <c r="B43" s="86">
        <v>30</v>
      </c>
      <c r="C43" s="71" t="str">
        <f>IF('INPUT DATA'!K40="","",'INPUT DATA'!K40)</f>
        <v/>
      </c>
      <c r="D43" s="72"/>
      <c r="E43" s="72"/>
      <c r="F43" s="80" t="str">
        <f>IF('TERM 1'!AC47="","",'TERM 1'!AC47)</f>
        <v/>
      </c>
      <c r="G43" s="80" t="str">
        <f>IF('TERM 2'!AC47="","",'TERM 2'!AC47)</f>
        <v/>
      </c>
      <c r="H43" s="81" t="str">
        <f>IF('TERM 3'!AC47="","",'TERM 3'!AC47)</f>
        <v/>
      </c>
      <c r="I43" s="82" t="str">
        <f t="shared" si="0"/>
        <v/>
      </c>
      <c r="J43" s="83" t="str">
        <f t="array" ref="J43">IF(I43="","",IFERROR(INDEX(HELPER!$G$8:$G$48,MATCH(I43,HELPER!$F$8:$F$48,-1)),""))</f>
        <v/>
      </c>
      <c r="K43" s="84" t="str">
        <f t="shared" si="1"/>
        <v/>
      </c>
      <c r="L43" s="45"/>
      <c r="M43" s="45"/>
    </row>
    <row r="44" customHeight="1" spans="1:13">
      <c r="A44" s="45"/>
      <c r="B44" s="86">
        <v>31</v>
      </c>
      <c r="C44" s="71" t="str">
        <f>IF('INPUT DATA'!K41="","",'INPUT DATA'!K41)</f>
        <v/>
      </c>
      <c r="D44" s="72"/>
      <c r="E44" s="72"/>
      <c r="F44" s="80" t="str">
        <f>IF('TERM 1'!AC48="","",'TERM 1'!AC48)</f>
        <v/>
      </c>
      <c r="G44" s="80" t="str">
        <f>IF('TERM 2'!AC48="","",'TERM 2'!AC48)</f>
        <v/>
      </c>
      <c r="H44" s="81" t="str">
        <f>IF('TERM 3'!AC48="","",'TERM 3'!AC48)</f>
        <v/>
      </c>
      <c r="I44" s="82" t="str">
        <f t="shared" si="0"/>
        <v/>
      </c>
      <c r="J44" s="83" t="str">
        <f t="array" ref="J44">IF(I44="","",IFERROR(INDEX(HELPER!$G$8:$G$48,MATCH(I44,HELPER!$F$8:$F$48,-1)),""))</f>
        <v/>
      </c>
      <c r="K44" s="84" t="str">
        <f t="shared" si="1"/>
        <v/>
      </c>
      <c r="L44" s="45"/>
      <c r="M44" s="45"/>
    </row>
    <row r="45" customHeight="1" spans="1:13">
      <c r="A45" s="45"/>
      <c r="B45" s="86">
        <v>32</v>
      </c>
      <c r="C45" s="71" t="str">
        <f>IF('INPUT DATA'!K42="","",'INPUT DATA'!K42)</f>
        <v/>
      </c>
      <c r="D45" s="72"/>
      <c r="E45" s="72"/>
      <c r="F45" s="80" t="str">
        <f>IF('TERM 1'!AC49="","",'TERM 1'!AC49)</f>
        <v/>
      </c>
      <c r="G45" s="80" t="str">
        <f>IF('TERM 2'!AC49="","",'TERM 2'!AC49)</f>
        <v/>
      </c>
      <c r="H45" s="81" t="str">
        <f>IF('TERM 3'!AC49="","",'TERM 3'!AC49)</f>
        <v/>
      </c>
      <c r="I45" s="82" t="str">
        <f t="shared" si="0"/>
        <v/>
      </c>
      <c r="J45" s="83" t="str">
        <f t="array" ref="J45">IF(I45="","",IFERROR(INDEX(HELPER!$G$8:$G$48,MATCH(I45,HELPER!$F$8:$F$48,-1)),""))</f>
        <v/>
      </c>
      <c r="K45" s="84" t="str">
        <f t="shared" si="1"/>
        <v/>
      </c>
      <c r="L45" s="45"/>
      <c r="M45" s="45"/>
    </row>
    <row r="46" customHeight="1" spans="1:13">
      <c r="A46" s="45"/>
      <c r="B46" s="86">
        <v>33</v>
      </c>
      <c r="C46" s="71" t="str">
        <f>IF('INPUT DATA'!K43="","",'INPUT DATA'!K43)</f>
        <v/>
      </c>
      <c r="D46" s="72"/>
      <c r="E46" s="72"/>
      <c r="F46" s="80" t="str">
        <f>IF('TERM 1'!AC50="","",'TERM 1'!AC50)</f>
        <v/>
      </c>
      <c r="G46" s="80" t="str">
        <f>IF('TERM 2'!AC50="","",'TERM 2'!AC50)</f>
        <v/>
      </c>
      <c r="H46" s="81" t="str">
        <f>IF('TERM 3'!AC50="","",'TERM 3'!AC50)</f>
        <v/>
      </c>
      <c r="I46" s="82" t="str">
        <f t="shared" si="0"/>
        <v/>
      </c>
      <c r="J46" s="83" t="str">
        <f t="array" ref="J46">IF(I46="","",IFERROR(INDEX(HELPER!$G$8:$G$48,MATCH(I46,HELPER!$F$8:$F$48,-1)),""))</f>
        <v/>
      </c>
      <c r="K46" s="84" t="str">
        <f t="shared" si="1"/>
        <v/>
      </c>
      <c r="L46" s="45"/>
      <c r="M46" s="45"/>
    </row>
    <row r="47" customHeight="1" spans="1:13">
      <c r="A47" s="45"/>
      <c r="B47" s="86">
        <v>34</v>
      </c>
      <c r="C47" s="71" t="str">
        <f>IF('INPUT DATA'!K44="","",'INPUT DATA'!K44)</f>
        <v/>
      </c>
      <c r="D47" s="72"/>
      <c r="E47" s="72"/>
      <c r="F47" s="80" t="str">
        <f>IF('TERM 1'!AC51="","",'TERM 1'!AC51)</f>
        <v/>
      </c>
      <c r="G47" s="80" t="str">
        <f>IF('TERM 2'!AC51="","",'TERM 2'!AC51)</f>
        <v/>
      </c>
      <c r="H47" s="81" t="str">
        <f>IF('TERM 3'!AC51="","",'TERM 3'!AC51)</f>
        <v/>
      </c>
      <c r="I47" s="82" t="str">
        <f t="shared" si="0"/>
        <v/>
      </c>
      <c r="J47" s="83" t="str">
        <f t="array" ref="J47">IF(I47="","",IFERROR(INDEX(HELPER!$G$8:$G$48,MATCH(I47,HELPER!$F$8:$F$48,-1)),""))</f>
        <v/>
      </c>
      <c r="K47" s="84" t="str">
        <f t="shared" si="1"/>
        <v/>
      </c>
      <c r="L47" s="45"/>
      <c r="M47" s="45"/>
    </row>
    <row r="48" customHeight="1" spans="1:13">
      <c r="A48" s="45"/>
      <c r="B48" s="86">
        <v>35</v>
      </c>
      <c r="C48" s="71" t="str">
        <f>IF('INPUT DATA'!K45="","",'INPUT DATA'!K45)</f>
        <v/>
      </c>
      <c r="D48" s="72"/>
      <c r="E48" s="72"/>
      <c r="F48" s="80" t="str">
        <f>IF('TERM 1'!AC52="","",'TERM 1'!AC52)</f>
        <v/>
      </c>
      <c r="G48" s="80" t="str">
        <f>IF('TERM 2'!AC52="","",'TERM 2'!AC52)</f>
        <v/>
      </c>
      <c r="H48" s="81" t="str">
        <f>IF('TERM 3'!AC52="","",'TERM 3'!AC52)</f>
        <v/>
      </c>
      <c r="I48" s="82" t="str">
        <f t="shared" si="0"/>
        <v/>
      </c>
      <c r="J48" s="83" t="str">
        <f t="array" ref="J48">IF(I48="","",IFERROR(INDEX(HELPER!$G$8:$G$48,MATCH(I48,HELPER!$F$8:$F$48,-1)),""))</f>
        <v/>
      </c>
      <c r="K48" s="84" t="str">
        <f t="shared" si="1"/>
        <v/>
      </c>
      <c r="L48" s="45"/>
      <c r="M48" s="45"/>
    </row>
    <row r="49" customHeight="1" spans="1:13">
      <c r="A49" s="45"/>
      <c r="B49" s="86">
        <v>36</v>
      </c>
      <c r="C49" s="71" t="str">
        <f>IF('INPUT DATA'!K46="","",'INPUT DATA'!K46)</f>
        <v/>
      </c>
      <c r="D49" s="72"/>
      <c r="E49" s="72"/>
      <c r="F49" s="80" t="str">
        <f>IF('TERM 1'!AC53="","",'TERM 1'!AC53)</f>
        <v/>
      </c>
      <c r="G49" s="80" t="str">
        <f>IF('TERM 2'!AC53="","",'TERM 2'!AC53)</f>
        <v/>
      </c>
      <c r="H49" s="81" t="str">
        <f>IF('TERM 3'!AC53="","",'TERM 3'!AC53)</f>
        <v/>
      </c>
      <c r="I49" s="82" t="str">
        <f t="shared" si="0"/>
        <v/>
      </c>
      <c r="J49" s="83" t="str">
        <f t="array" ref="J49">IF(I49="","",IFERROR(INDEX(HELPER!$G$8:$G$48,MATCH(I49,HELPER!$F$8:$F$48,-1)),""))</f>
        <v/>
      </c>
      <c r="K49" s="84" t="str">
        <f t="shared" si="1"/>
        <v/>
      </c>
      <c r="L49" s="45"/>
      <c r="M49" s="45"/>
    </row>
    <row r="50" customHeight="1" spans="1:13">
      <c r="A50" s="45"/>
      <c r="B50" s="86">
        <v>37</v>
      </c>
      <c r="C50" s="71" t="str">
        <f>IF('INPUT DATA'!K47="","",'INPUT DATA'!K47)</f>
        <v/>
      </c>
      <c r="D50" s="72"/>
      <c r="E50" s="72"/>
      <c r="F50" s="80" t="str">
        <f>IF('TERM 1'!AC54="","",'TERM 1'!AC54)</f>
        <v/>
      </c>
      <c r="G50" s="80" t="str">
        <f>IF('TERM 2'!AC54="","",'TERM 2'!AC54)</f>
        <v/>
      </c>
      <c r="H50" s="81" t="str">
        <f>IF('TERM 3'!AC54="","",'TERM 3'!AC54)</f>
        <v/>
      </c>
      <c r="I50" s="82" t="str">
        <f t="shared" si="0"/>
        <v/>
      </c>
      <c r="J50" s="83" t="str">
        <f t="array" ref="J50">IF(I50="","",IFERROR(INDEX(HELPER!$G$8:$G$48,MATCH(I50,HELPER!$F$8:$F$48,-1)),""))</f>
        <v/>
      </c>
      <c r="K50" s="84" t="str">
        <f t="shared" si="1"/>
        <v/>
      </c>
      <c r="L50" s="45"/>
      <c r="M50" s="45"/>
    </row>
    <row r="51" customHeight="1" spans="1:13">
      <c r="A51" s="45"/>
      <c r="B51" s="86">
        <v>38</v>
      </c>
      <c r="C51" s="71" t="str">
        <f>IF('INPUT DATA'!K48="","",'INPUT DATA'!K48)</f>
        <v/>
      </c>
      <c r="D51" s="72"/>
      <c r="E51" s="72"/>
      <c r="F51" s="80" t="str">
        <f>IF('TERM 1'!AC55="","",'TERM 1'!AC55)</f>
        <v/>
      </c>
      <c r="G51" s="80" t="str">
        <f>IF('TERM 2'!AC55="","",'TERM 2'!AC55)</f>
        <v/>
      </c>
      <c r="H51" s="81" t="str">
        <f>IF('TERM 3'!AC55="","",'TERM 3'!AC55)</f>
        <v/>
      </c>
      <c r="I51" s="82" t="str">
        <f t="shared" si="0"/>
        <v/>
      </c>
      <c r="J51" s="83" t="str">
        <f t="array" ref="J51">IF(I51="","",IFERROR(INDEX(HELPER!$G$8:$G$48,MATCH(I51,HELPER!$F$8:$F$48,-1)),""))</f>
        <v/>
      </c>
      <c r="K51" s="84" t="str">
        <f t="shared" si="1"/>
        <v/>
      </c>
      <c r="L51" s="45"/>
      <c r="M51" s="45"/>
    </row>
    <row r="52" customHeight="1" spans="1:13">
      <c r="A52" s="45"/>
      <c r="B52" s="86">
        <v>39</v>
      </c>
      <c r="C52" s="71" t="str">
        <f>IF('INPUT DATA'!K49="","",'INPUT DATA'!K49)</f>
        <v/>
      </c>
      <c r="D52" s="72"/>
      <c r="E52" s="72"/>
      <c r="F52" s="80" t="str">
        <f>IF('TERM 1'!AC56="","",'TERM 1'!AC56)</f>
        <v/>
      </c>
      <c r="G52" s="80" t="str">
        <f>IF('TERM 2'!AC56="","",'TERM 2'!AC56)</f>
        <v/>
      </c>
      <c r="H52" s="81" t="str">
        <f>IF('TERM 3'!AC56="","",'TERM 3'!AC56)</f>
        <v/>
      </c>
      <c r="I52" s="82" t="str">
        <f t="shared" si="0"/>
        <v/>
      </c>
      <c r="J52" s="83" t="str">
        <f t="array" ref="J52">IF(I52="","",IFERROR(INDEX(HELPER!$G$8:$G$48,MATCH(I52,HELPER!$F$8:$F$48,-1)),""))</f>
        <v/>
      </c>
      <c r="K52" s="84" t="str">
        <f t="shared" si="1"/>
        <v/>
      </c>
      <c r="L52" s="45"/>
      <c r="M52" s="45"/>
    </row>
    <row r="53" customHeight="1" spans="1:13">
      <c r="A53" s="45"/>
      <c r="B53" s="86">
        <v>40</v>
      </c>
      <c r="C53" s="71" t="str">
        <f>IF('INPUT DATA'!K50="","",'INPUT DATA'!K50)</f>
        <v/>
      </c>
      <c r="D53" s="72"/>
      <c r="E53" s="72"/>
      <c r="F53" s="80" t="str">
        <f>IF('TERM 1'!AC57="","",'TERM 1'!AC57)</f>
        <v/>
      </c>
      <c r="G53" s="80" t="str">
        <f>IF('TERM 2'!AC57="","",'TERM 2'!AC57)</f>
        <v/>
      </c>
      <c r="H53" s="81" t="str">
        <f>IF('TERM 3'!AC57="","",'TERM 3'!AC57)</f>
        <v/>
      </c>
      <c r="I53" s="82" t="str">
        <f t="shared" si="0"/>
        <v/>
      </c>
      <c r="J53" s="83" t="str">
        <f t="array" ref="J53">IF(I53="","",IFERROR(INDEX(HELPER!$G$8:$G$48,MATCH(I53,HELPER!$F$8:$F$48,-1)),""))</f>
        <v/>
      </c>
      <c r="K53" s="84" t="str">
        <f t="shared" si="1"/>
        <v/>
      </c>
      <c r="L53" s="45"/>
      <c r="M53" s="45"/>
    </row>
    <row r="54" customHeight="1" spans="1:13">
      <c r="A54" s="45"/>
      <c r="B54" s="86">
        <v>41</v>
      </c>
      <c r="C54" s="71" t="str">
        <f>IF('INPUT DATA'!K51="","",'INPUT DATA'!K51)</f>
        <v/>
      </c>
      <c r="D54" s="72"/>
      <c r="E54" s="72"/>
      <c r="F54" s="80" t="str">
        <f>IF('TERM 1'!AC58="","",'TERM 1'!AC58)</f>
        <v/>
      </c>
      <c r="G54" s="80" t="str">
        <f>IF('TERM 2'!AC58="","",'TERM 2'!AC58)</f>
        <v/>
      </c>
      <c r="H54" s="81" t="str">
        <f>IF('TERM 3'!AC58="","",'TERM 3'!AC58)</f>
        <v/>
      </c>
      <c r="I54" s="82" t="str">
        <f t="shared" si="0"/>
        <v/>
      </c>
      <c r="J54" s="83" t="str">
        <f t="array" ref="J54">IF(I54="","",IFERROR(INDEX(HELPER!$G$8:$G$48,MATCH(I54,HELPER!$F$8:$F$48,-1)),""))</f>
        <v/>
      </c>
      <c r="K54" s="84" t="str">
        <f t="shared" si="1"/>
        <v/>
      </c>
      <c r="L54" s="45"/>
      <c r="M54" s="45"/>
    </row>
    <row r="55" customHeight="1" spans="1:13">
      <c r="A55" s="45"/>
      <c r="B55" s="86">
        <v>42</v>
      </c>
      <c r="C55" s="71" t="str">
        <f>IF('INPUT DATA'!K52="","",'INPUT DATA'!K52)</f>
        <v/>
      </c>
      <c r="D55" s="72"/>
      <c r="E55" s="72"/>
      <c r="F55" s="80" t="str">
        <f>IF('TERM 1'!AC59="","",'TERM 1'!AC59)</f>
        <v/>
      </c>
      <c r="G55" s="80" t="str">
        <f>IF('TERM 2'!AC59="","",'TERM 2'!AC59)</f>
        <v/>
      </c>
      <c r="H55" s="81" t="str">
        <f>IF('TERM 3'!AC59="","",'TERM 3'!AC59)</f>
        <v/>
      </c>
      <c r="I55" s="82" t="str">
        <f t="shared" si="0"/>
        <v/>
      </c>
      <c r="J55" s="83" t="str">
        <f t="array" ref="J55">IF(I55="","",IFERROR(INDEX(HELPER!$G$8:$G$48,MATCH(I55,HELPER!$F$8:$F$48,-1)),""))</f>
        <v/>
      </c>
      <c r="K55" s="84" t="str">
        <f t="shared" si="1"/>
        <v/>
      </c>
      <c r="L55" s="45"/>
      <c r="M55" s="45"/>
    </row>
    <row r="56" customHeight="1" spans="1:13">
      <c r="A56" s="45"/>
      <c r="B56" s="86">
        <v>43</v>
      </c>
      <c r="C56" s="71" t="str">
        <f>IF('INPUT DATA'!K53="","",'INPUT DATA'!K53)</f>
        <v/>
      </c>
      <c r="D56" s="72"/>
      <c r="E56" s="72"/>
      <c r="F56" s="80" t="str">
        <f>IF('TERM 1'!AC60="","",'TERM 1'!AC60)</f>
        <v/>
      </c>
      <c r="G56" s="80" t="str">
        <f>IF('TERM 2'!AC60="","",'TERM 2'!AC60)</f>
        <v/>
      </c>
      <c r="H56" s="81" t="str">
        <f>IF('TERM 3'!AC60="","",'TERM 3'!AC60)</f>
        <v/>
      </c>
      <c r="I56" s="82" t="str">
        <f t="shared" si="0"/>
        <v/>
      </c>
      <c r="J56" s="83" t="str">
        <f t="array" ref="J56">IF(I56="","",IFERROR(INDEX(HELPER!$G$8:$G$48,MATCH(I56,HELPER!$F$8:$F$48,-1)),""))</f>
        <v/>
      </c>
      <c r="K56" s="84" t="str">
        <f t="shared" si="1"/>
        <v/>
      </c>
      <c r="L56" s="45"/>
      <c r="M56" s="45"/>
    </row>
    <row r="57" customHeight="1" spans="1:13">
      <c r="A57" s="45"/>
      <c r="B57" s="86">
        <v>44</v>
      </c>
      <c r="C57" s="71" t="str">
        <f>IF('INPUT DATA'!K54="","",'INPUT DATA'!K54)</f>
        <v/>
      </c>
      <c r="D57" s="72"/>
      <c r="E57" s="72"/>
      <c r="F57" s="80" t="str">
        <f>IF('TERM 1'!AC61="","",'TERM 1'!AC61)</f>
        <v/>
      </c>
      <c r="G57" s="80" t="str">
        <f>IF('TERM 2'!AC61="","",'TERM 2'!AC61)</f>
        <v/>
      </c>
      <c r="H57" s="81" t="str">
        <f>IF('TERM 3'!AC61="","",'TERM 3'!AC61)</f>
        <v/>
      </c>
      <c r="I57" s="82" t="str">
        <f t="shared" si="0"/>
        <v/>
      </c>
      <c r="J57" s="83" t="str">
        <f t="array" ref="J57">IF(I57="","",IFERROR(INDEX(HELPER!$G$8:$G$48,MATCH(I57,HELPER!$F$8:$F$48,-1)),""))</f>
        <v/>
      </c>
      <c r="K57" s="84" t="str">
        <f t="shared" si="1"/>
        <v/>
      </c>
      <c r="L57" s="45"/>
      <c r="M57" s="45"/>
    </row>
    <row r="58" customHeight="1" spans="1:13">
      <c r="A58" s="45"/>
      <c r="B58" s="86">
        <v>45</v>
      </c>
      <c r="C58" s="71" t="str">
        <f>IF('INPUT DATA'!K55="","",'INPUT DATA'!K55)</f>
        <v/>
      </c>
      <c r="D58" s="72"/>
      <c r="E58" s="72"/>
      <c r="F58" s="80" t="str">
        <f>IF('TERM 1'!AC62="","",'TERM 1'!AC62)</f>
        <v/>
      </c>
      <c r="G58" s="80" t="str">
        <f>IF('TERM 2'!AC62="","",'TERM 2'!AC62)</f>
        <v/>
      </c>
      <c r="H58" s="81" t="str">
        <f>IF('TERM 3'!AC62="","",'TERM 3'!AC62)</f>
        <v/>
      </c>
      <c r="I58" s="82" t="str">
        <f t="shared" si="0"/>
        <v/>
      </c>
      <c r="J58" s="83" t="str">
        <f t="array" ref="J58">IF(I58="","",IFERROR(INDEX(HELPER!$G$8:$G$48,MATCH(I58,HELPER!$F$8:$F$48,-1)),""))</f>
        <v/>
      </c>
      <c r="K58" s="84" t="str">
        <f t="shared" si="1"/>
        <v/>
      </c>
      <c r="L58" s="45"/>
      <c r="M58" s="45"/>
    </row>
    <row r="59" customHeight="1" spans="1:13">
      <c r="A59" s="45"/>
      <c r="B59" s="86">
        <v>46</v>
      </c>
      <c r="C59" s="71" t="str">
        <f>IF('INPUT DATA'!K56="","",'INPUT DATA'!K56)</f>
        <v/>
      </c>
      <c r="D59" s="72"/>
      <c r="E59" s="72"/>
      <c r="F59" s="80" t="str">
        <f>IF('TERM 1'!AC63="","",'TERM 1'!AC63)</f>
        <v/>
      </c>
      <c r="G59" s="80" t="str">
        <f>IF('TERM 2'!AC63="","",'TERM 2'!AC63)</f>
        <v/>
      </c>
      <c r="H59" s="81" t="str">
        <f>IF('TERM 3'!AC63="","",'TERM 3'!AC63)</f>
        <v/>
      </c>
      <c r="I59" s="82" t="str">
        <f t="shared" si="0"/>
        <v/>
      </c>
      <c r="J59" s="83" t="str">
        <f t="array" ref="J59">IF(I59="","",IFERROR(INDEX(HELPER!$G$8:$G$48,MATCH(I59,HELPER!$F$8:$F$48,-1)),""))</f>
        <v/>
      </c>
      <c r="K59" s="84" t="str">
        <f t="shared" si="1"/>
        <v/>
      </c>
      <c r="L59" s="45"/>
      <c r="M59" s="45"/>
    </row>
    <row r="60" customHeight="1" spans="1:13">
      <c r="A60" s="45"/>
      <c r="B60" s="86">
        <v>47</v>
      </c>
      <c r="C60" s="71" t="str">
        <f>IF('INPUT DATA'!K57="","",'INPUT DATA'!K57)</f>
        <v/>
      </c>
      <c r="D60" s="72"/>
      <c r="E60" s="72"/>
      <c r="F60" s="80" t="str">
        <f>IF('TERM 1'!AC64="","",'TERM 1'!AC64)</f>
        <v/>
      </c>
      <c r="G60" s="80" t="str">
        <f>IF('TERM 2'!AC64="","",'TERM 2'!AC64)</f>
        <v/>
      </c>
      <c r="H60" s="81" t="str">
        <f>IF('TERM 3'!AC64="","",'TERM 3'!AC64)</f>
        <v/>
      </c>
      <c r="I60" s="82" t="str">
        <f t="shared" si="0"/>
        <v/>
      </c>
      <c r="J60" s="83" t="str">
        <f t="array" ref="J60">IF(I60="","",IFERROR(INDEX(HELPER!$G$8:$G$48,MATCH(I60,HELPER!$F$8:$F$48,-1)),""))</f>
        <v/>
      </c>
      <c r="K60" s="84" t="str">
        <f t="shared" si="1"/>
        <v/>
      </c>
      <c r="L60" s="45"/>
      <c r="M60" s="45"/>
    </row>
    <row r="61" customHeight="1" spans="1:13">
      <c r="A61" s="45"/>
      <c r="B61" s="86">
        <v>48</v>
      </c>
      <c r="C61" s="71" t="str">
        <f>IF('INPUT DATA'!K58="","",'INPUT DATA'!K58)</f>
        <v/>
      </c>
      <c r="D61" s="72"/>
      <c r="E61" s="72"/>
      <c r="F61" s="80" t="str">
        <f>IF('TERM 1'!AC65="","",'TERM 1'!AC65)</f>
        <v/>
      </c>
      <c r="G61" s="80" t="str">
        <f>IF('TERM 2'!AC65="","",'TERM 2'!AC65)</f>
        <v/>
      </c>
      <c r="H61" s="81" t="str">
        <f>IF('TERM 3'!AC65="","",'TERM 3'!AC65)</f>
        <v/>
      </c>
      <c r="I61" s="82" t="str">
        <f t="shared" si="0"/>
        <v/>
      </c>
      <c r="J61" s="83" t="str">
        <f t="array" ref="J61">IF(I61="","",IFERROR(INDEX(HELPER!$G$8:$G$48,MATCH(I61,HELPER!$F$8:$F$48,-1)),""))</f>
        <v/>
      </c>
      <c r="K61" s="84" t="str">
        <f t="shared" si="1"/>
        <v/>
      </c>
      <c r="L61" s="45"/>
      <c r="M61" s="45"/>
    </row>
    <row r="62" customHeight="1" spans="1:13">
      <c r="A62" s="45"/>
      <c r="B62" s="86">
        <v>49</v>
      </c>
      <c r="C62" s="71" t="str">
        <f>IF('INPUT DATA'!K59="","",'INPUT DATA'!K59)</f>
        <v/>
      </c>
      <c r="D62" s="72"/>
      <c r="E62" s="72"/>
      <c r="F62" s="80" t="str">
        <f>IF('TERM 1'!AC66="","",'TERM 1'!AC66)</f>
        <v/>
      </c>
      <c r="G62" s="80" t="str">
        <f>IF('TERM 2'!AC66="","",'TERM 2'!AC66)</f>
        <v/>
      </c>
      <c r="H62" s="81" t="str">
        <f>IF('TERM 3'!AC66="","",'TERM 3'!AC66)</f>
        <v/>
      </c>
      <c r="I62" s="82" t="str">
        <f t="shared" si="0"/>
        <v/>
      </c>
      <c r="J62" s="83" t="str">
        <f t="array" ref="J62">IF(I62="","",IFERROR(INDEX(HELPER!$G$8:$G$48,MATCH(I62,HELPER!$F$8:$F$48,-1)),""))</f>
        <v/>
      </c>
      <c r="K62" s="84" t="str">
        <f t="shared" si="1"/>
        <v/>
      </c>
      <c r="L62" s="45"/>
      <c r="M62" s="45"/>
    </row>
    <row r="63" customHeight="1" spans="1:13">
      <c r="A63" s="45"/>
      <c r="B63" s="86">
        <v>50</v>
      </c>
      <c r="C63" s="87" t="str">
        <f>IF('INPUT DATA'!K60="","",'INPUT DATA'!K60)</f>
        <v/>
      </c>
      <c r="D63" s="6"/>
      <c r="E63" s="6"/>
      <c r="F63" s="88" t="str">
        <f>IF('TERM 1'!AC67="","",'TERM 1'!AC67)</f>
        <v/>
      </c>
      <c r="G63" s="88" t="str">
        <f>IF('TERM 2'!AC67="","",'TERM 2'!AC67)</f>
        <v/>
      </c>
      <c r="H63" s="89" t="str">
        <f>IF('TERM 3'!AC67="","",'TERM 3'!AC67)</f>
        <v/>
      </c>
      <c r="I63" s="90" t="str">
        <f t="shared" si="0"/>
        <v/>
      </c>
      <c r="J63" s="91" t="str">
        <f t="array" ref="J63">IF(I63="","",IFERROR(INDEX(HELPER!$G$8:$G$48,MATCH(I63,HELPER!$F$8:$F$48,-1)),""))</f>
        <v/>
      </c>
      <c r="K63" s="92" t="str">
        <f t="shared" si="1"/>
        <v/>
      </c>
      <c r="L63" s="45"/>
      <c r="M63" s="45"/>
    </row>
    <row r="64" ht="15.75" customHeight="1" spans="1:13">
      <c r="A64" s="45"/>
      <c r="B64" s="68" t="s">
        <v>6</v>
      </c>
      <c r="C64" s="50"/>
      <c r="D64" s="50"/>
      <c r="E64" s="50"/>
      <c r="F64" s="50"/>
      <c r="G64" s="50"/>
      <c r="H64" s="50"/>
      <c r="I64" s="50"/>
      <c r="J64" s="50"/>
      <c r="K64" s="49"/>
      <c r="L64" s="45"/>
      <c r="M64" s="45"/>
    </row>
    <row r="65" customHeight="1" spans="1:13">
      <c r="A65" s="45"/>
      <c r="B65" s="93">
        <v>1</v>
      </c>
      <c r="C65" s="71" t="str">
        <f>IF('INPUT DATA'!N11="","",'INPUT DATA'!N11)</f>
        <v/>
      </c>
      <c r="D65" s="72"/>
      <c r="E65" s="72"/>
      <c r="F65" s="94" t="str">
        <f>IF('TERM 1'!AC69="","",'TERM 1'!AC69)</f>
        <v/>
      </c>
      <c r="G65" s="73" t="str">
        <f>IF('TERM 2'!AC69="","",'TERM 2'!AC69)</f>
        <v/>
      </c>
      <c r="H65" s="74" t="str">
        <f>IF('TERM 3'!AC69="","",'TERM 3'!AC69)</f>
        <v/>
      </c>
      <c r="I65" s="75" t="str">
        <f t="shared" ref="I65:I114" si="2">IF(COUNT(F65,G65,H65)&lt;3,"",ROUND(AVERAGE(F65,G65,H65),0))</f>
        <v/>
      </c>
      <c r="J65" s="95" t="str">
        <f t="array" ref="J65">IF(I65="","",IFERROR(INDEX(HELPER!$G$8:$G$48,MATCH(I65,HELPER!$F$8:$F$48,-1)),""))</f>
        <v/>
      </c>
      <c r="K65" s="77" t="str">
        <f t="shared" ref="K65:K114" si="3">IF(I65="","",IF(I65&gt;=75,"Passed","Failed"))</f>
        <v/>
      </c>
      <c r="L65" s="45"/>
      <c r="M65" s="45"/>
    </row>
    <row r="66" customHeight="1" spans="1:13">
      <c r="A66" s="45"/>
      <c r="B66" s="96">
        <v>2</v>
      </c>
      <c r="C66" s="71" t="str">
        <f>IF('INPUT DATA'!N12="","",'INPUT DATA'!N12)</f>
        <v/>
      </c>
      <c r="D66" s="72"/>
      <c r="E66" s="72"/>
      <c r="F66" s="80" t="str">
        <f>IF('TERM 1'!AC70="","",'TERM 1'!AC70)</f>
        <v/>
      </c>
      <c r="G66" s="80" t="str">
        <f>IF('TERM 2'!AC70="","",'TERM 2'!AC70)</f>
        <v/>
      </c>
      <c r="H66" s="81" t="str">
        <f>IF('TERM 3'!AC70="","",'TERM 3'!AC70)</f>
        <v/>
      </c>
      <c r="I66" s="82" t="str">
        <f t="shared" si="2"/>
        <v/>
      </c>
      <c r="J66" s="97" t="str">
        <f t="array" ref="J66">IF(I66="","",IFERROR(INDEX(HELPER!$G$8:$G$48,MATCH(I66,HELPER!$F$8:$F$48,-1)),""))</f>
        <v/>
      </c>
      <c r="K66" s="84" t="str">
        <f t="shared" si="3"/>
        <v/>
      </c>
      <c r="L66" s="45"/>
      <c r="M66" s="45"/>
    </row>
    <row r="67" customHeight="1" spans="1:13">
      <c r="A67" s="45"/>
      <c r="B67" s="96">
        <v>3</v>
      </c>
      <c r="C67" s="71" t="str">
        <f>IF('INPUT DATA'!N13="","",'INPUT DATA'!N13)</f>
        <v/>
      </c>
      <c r="D67" s="72"/>
      <c r="E67" s="72"/>
      <c r="F67" s="80" t="str">
        <f>IF('TERM 1'!AC71="","",'TERM 1'!AC71)</f>
        <v/>
      </c>
      <c r="G67" s="80" t="str">
        <f>IF('TERM 2'!AC71="","",'TERM 2'!AC71)</f>
        <v/>
      </c>
      <c r="H67" s="81" t="str">
        <f>IF('TERM 3'!AC71="","",'TERM 3'!AC71)</f>
        <v/>
      </c>
      <c r="I67" s="82" t="str">
        <f t="shared" si="2"/>
        <v/>
      </c>
      <c r="J67" s="97" t="str">
        <f t="array" ref="J67">IF(I67="","",IFERROR(INDEX(HELPER!$G$8:$G$48,MATCH(I67,HELPER!$F$8:$F$48,-1)),""))</f>
        <v/>
      </c>
      <c r="K67" s="84" t="str">
        <f t="shared" si="3"/>
        <v/>
      </c>
      <c r="L67" s="45"/>
      <c r="M67" s="45"/>
    </row>
    <row r="68" customHeight="1" spans="1:13">
      <c r="A68" s="45"/>
      <c r="B68" s="96">
        <v>4</v>
      </c>
      <c r="C68" s="71" t="str">
        <f>IF('INPUT DATA'!N14="","",'INPUT DATA'!N14)</f>
        <v/>
      </c>
      <c r="D68" s="72"/>
      <c r="E68" s="72"/>
      <c r="F68" s="80" t="str">
        <f>IF('TERM 1'!AC72="","",'TERM 1'!AC72)</f>
        <v/>
      </c>
      <c r="G68" s="80" t="str">
        <f>IF('TERM 2'!AC72="","",'TERM 2'!AC72)</f>
        <v/>
      </c>
      <c r="H68" s="81" t="str">
        <f>IF('TERM 3'!AC72="","",'TERM 3'!AC72)</f>
        <v/>
      </c>
      <c r="I68" s="82" t="str">
        <f t="shared" si="2"/>
        <v/>
      </c>
      <c r="J68" s="97" t="str">
        <f t="array" ref="J68">IF(I68="","",IFERROR(INDEX(HELPER!$G$8:$G$48,MATCH(I68,HELPER!$F$8:$F$48,-1)),""))</f>
        <v/>
      </c>
      <c r="K68" s="84" t="str">
        <f t="shared" si="3"/>
        <v/>
      </c>
      <c r="L68" s="45"/>
      <c r="M68" s="45"/>
    </row>
    <row r="69" customHeight="1" spans="1:13">
      <c r="A69" s="45"/>
      <c r="B69" s="96">
        <v>5</v>
      </c>
      <c r="C69" s="71" t="str">
        <f>IF('INPUT DATA'!N15="","",'INPUT DATA'!N15)</f>
        <v/>
      </c>
      <c r="D69" s="72"/>
      <c r="E69" s="72"/>
      <c r="F69" s="80" t="str">
        <f>IF('TERM 1'!AC73="","",'TERM 1'!AC73)</f>
        <v/>
      </c>
      <c r="G69" s="80" t="str">
        <f>IF('TERM 2'!AC73="","",'TERM 2'!AC73)</f>
        <v/>
      </c>
      <c r="H69" s="81" t="str">
        <f>IF('TERM 3'!AC73="","",'TERM 3'!AC73)</f>
        <v/>
      </c>
      <c r="I69" s="82" t="str">
        <f t="shared" si="2"/>
        <v/>
      </c>
      <c r="J69" s="97" t="str">
        <f t="array" ref="J69">IF(I69="","",IFERROR(INDEX(HELPER!$G$8:$G$48,MATCH(I69,HELPER!$F$8:$F$48,-1)),""))</f>
        <v/>
      </c>
      <c r="K69" s="84" t="str">
        <f t="shared" si="3"/>
        <v/>
      </c>
      <c r="L69" s="45"/>
      <c r="M69" s="45"/>
    </row>
    <row r="70" customHeight="1" spans="1:13">
      <c r="A70" s="45"/>
      <c r="B70" s="96">
        <v>6</v>
      </c>
      <c r="C70" s="71" t="str">
        <f>IF('INPUT DATA'!N16="","",'INPUT DATA'!N16)</f>
        <v/>
      </c>
      <c r="D70" s="72"/>
      <c r="E70" s="72"/>
      <c r="F70" s="80" t="str">
        <f>IF('TERM 1'!AC74="","",'TERM 1'!AC74)</f>
        <v/>
      </c>
      <c r="G70" s="80" t="str">
        <f>IF('TERM 2'!AC74="","",'TERM 2'!AC74)</f>
        <v/>
      </c>
      <c r="H70" s="81" t="str">
        <f>IF('TERM 3'!AC74="","",'TERM 3'!AC74)</f>
        <v/>
      </c>
      <c r="I70" s="82" t="str">
        <f t="shared" si="2"/>
        <v/>
      </c>
      <c r="J70" s="97" t="str">
        <f t="array" ref="J70">IF(I70="","",IFERROR(INDEX(HELPER!$G$8:$G$48,MATCH(I70,HELPER!$F$8:$F$48,-1)),""))</f>
        <v/>
      </c>
      <c r="K70" s="84" t="str">
        <f t="shared" si="3"/>
        <v/>
      </c>
      <c r="L70" s="45"/>
      <c r="M70" s="45"/>
    </row>
    <row r="71" customHeight="1" spans="1:13">
      <c r="A71" s="45"/>
      <c r="B71" s="96">
        <v>7</v>
      </c>
      <c r="C71" s="71" t="str">
        <f>IF('INPUT DATA'!N17="","",'INPUT DATA'!N17)</f>
        <v/>
      </c>
      <c r="D71" s="72"/>
      <c r="E71" s="72"/>
      <c r="F71" s="80" t="str">
        <f>IF('TERM 1'!AC75="","",'TERM 1'!AC75)</f>
        <v/>
      </c>
      <c r="G71" s="80" t="str">
        <f>IF('TERM 2'!AC75="","",'TERM 2'!AC75)</f>
        <v/>
      </c>
      <c r="H71" s="81" t="str">
        <f>IF('TERM 3'!AC75="","",'TERM 3'!AC75)</f>
        <v/>
      </c>
      <c r="I71" s="82" t="str">
        <f t="shared" si="2"/>
        <v/>
      </c>
      <c r="J71" s="97" t="str">
        <f t="array" ref="J71">IF(I71="","",IFERROR(INDEX(HELPER!$G$8:$G$48,MATCH(I71,HELPER!$F$8:$F$48,-1)),""))</f>
        <v/>
      </c>
      <c r="K71" s="84" t="str">
        <f t="shared" si="3"/>
        <v/>
      </c>
      <c r="L71" s="45"/>
      <c r="M71" s="45"/>
    </row>
    <row r="72" customHeight="1" spans="1:13">
      <c r="A72" s="45"/>
      <c r="B72" s="96">
        <v>8</v>
      </c>
      <c r="C72" s="71" t="str">
        <f>IF('INPUT DATA'!N18="","",'INPUT DATA'!N18)</f>
        <v/>
      </c>
      <c r="D72" s="72"/>
      <c r="E72" s="72"/>
      <c r="F72" s="80" t="str">
        <f>IF('TERM 1'!AC76="","",'TERM 1'!AC76)</f>
        <v/>
      </c>
      <c r="G72" s="80" t="str">
        <f>IF('TERM 2'!AC76="","",'TERM 2'!AC76)</f>
        <v/>
      </c>
      <c r="H72" s="81" t="str">
        <f>IF('TERM 3'!AC76="","",'TERM 3'!AC76)</f>
        <v/>
      </c>
      <c r="I72" s="82" t="str">
        <f t="shared" si="2"/>
        <v/>
      </c>
      <c r="J72" s="97" t="str">
        <f t="array" ref="J72">IF(I72="","",IFERROR(INDEX(HELPER!$G$8:$G$48,MATCH(I72,HELPER!$F$8:$F$48,-1)),""))</f>
        <v/>
      </c>
      <c r="K72" s="84" t="str">
        <f t="shared" si="3"/>
        <v/>
      </c>
      <c r="L72" s="45"/>
      <c r="M72" s="45"/>
    </row>
    <row r="73" customHeight="1" spans="1:13">
      <c r="A73" s="45"/>
      <c r="B73" s="96">
        <v>9</v>
      </c>
      <c r="C73" s="71" t="str">
        <f>IF('INPUT DATA'!N19="","",'INPUT DATA'!N19)</f>
        <v/>
      </c>
      <c r="D73" s="72"/>
      <c r="E73" s="72"/>
      <c r="F73" s="80" t="str">
        <f>IF('TERM 1'!AC77="","",'TERM 1'!AC77)</f>
        <v/>
      </c>
      <c r="G73" s="80" t="str">
        <f>IF('TERM 2'!AC77="","",'TERM 2'!AC77)</f>
        <v/>
      </c>
      <c r="H73" s="81" t="str">
        <f>IF('TERM 3'!AC77="","",'TERM 3'!AC77)</f>
        <v/>
      </c>
      <c r="I73" s="82" t="str">
        <f t="shared" si="2"/>
        <v/>
      </c>
      <c r="J73" s="97" t="str">
        <f t="array" ref="J73">IF(I73="","",IFERROR(INDEX(HELPER!$G$8:$G$48,MATCH(I73,HELPER!$F$8:$F$48,-1)),""))</f>
        <v/>
      </c>
      <c r="K73" s="84" t="str">
        <f t="shared" si="3"/>
        <v/>
      </c>
      <c r="L73" s="45"/>
      <c r="M73" s="45"/>
    </row>
    <row r="74" customHeight="1" spans="1:13">
      <c r="A74" s="45"/>
      <c r="B74" s="96">
        <v>10</v>
      </c>
      <c r="C74" s="71" t="str">
        <f>IF('INPUT DATA'!N20="","",'INPUT DATA'!N20)</f>
        <v/>
      </c>
      <c r="D74" s="72"/>
      <c r="E74" s="72"/>
      <c r="F74" s="80" t="str">
        <f>IF('TERM 1'!AC78="","",'TERM 1'!AC78)</f>
        <v/>
      </c>
      <c r="G74" s="80" t="str">
        <f>IF('TERM 2'!AC78="","",'TERM 2'!AC78)</f>
        <v/>
      </c>
      <c r="H74" s="81" t="str">
        <f>IF('TERM 3'!AC78="","",'TERM 3'!AC78)</f>
        <v/>
      </c>
      <c r="I74" s="82" t="str">
        <f t="shared" si="2"/>
        <v/>
      </c>
      <c r="J74" s="97" t="str">
        <f t="array" ref="J74">IF(I74="","",IFERROR(INDEX(HELPER!$G$8:$G$48,MATCH(I74,HELPER!$F$8:$F$48,-1)),""))</f>
        <v/>
      </c>
      <c r="K74" s="84" t="str">
        <f t="shared" si="3"/>
        <v/>
      </c>
      <c r="L74" s="45"/>
      <c r="M74" s="45"/>
    </row>
    <row r="75" customHeight="1" spans="1:13">
      <c r="A75" s="45"/>
      <c r="B75" s="96">
        <v>11</v>
      </c>
      <c r="C75" s="71" t="str">
        <f>IF('INPUT DATA'!N21="","",'INPUT DATA'!N21)</f>
        <v/>
      </c>
      <c r="D75" s="72"/>
      <c r="E75" s="72"/>
      <c r="F75" s="80" t="str">
        <f>IF('TERM 1'!AC79="","",'TERM 1'!AC79)</f>
        <v/>
      </c>
      <c r="G75" s="80" t="str">
        <f>IF('TERM 2'!AC79="","",'TERM 2'!AC79)</f>
        <v/>
      </c>
      <c r="H75" s="81" t="str">
        <f>IF('TERM 3'!AC79="","",'TERM 3'!AC79)</f>
        <v/>
      </c>
      <c r="I75" s="82" t="str">
        <f t="shared" si="2"/>
        <v/>
      </c>
      <c r="J75" s="97" t="str">
        <f t="array" ref="J75">IF(I75="","",IFERROR(INDEX(HELPER!$G$8:$G$48,MATCH(I75,HELPER!$F$8:$F$48,-1)),""))</f>
        <v/>
      </c>
      <c r="K75" s="84" t="str">
        <f t="shared" si="3"/>
        <v/>
      </c>
      <c r="L75" s="45"/>
      <c r="M75" s="45"/>
    </row>
    <row r="76" customHeight="1" spans="1:13">
      <c r="A76" s="45"/>
      <c r="B76" s="96">
        <v>12</v>
      </c>
      <c r="C76" s="71" t="str">
        <f>IF('INPUT DATA'!N22="","",'INPUT DATA'!N22)</f>
        <v/>
      </c>
      <c r="D76" s="72"/>
      <c r="E76" s="72"/>
      <c r="F76" s="80" t="str">
        <f>IF('TERM 1'!AC80="","",'TERM 1'!AC80)</f>
        <v/>
      </c>
      <c r="G76" s="80" t="str">
        <f>IF('TERM 2'!AC80="","",'TERM 2'!AC80)</f>
        <v/>
      </c>
      <c r="H76" s="81" t="str">
        <f>IF('TERM 3'!AC80="","",'TERM 3'!AC80)</f>
        <v/>
      </c>
      <c r="I76" s="82" t="str">
        <f t="shared" si="2"/>
        <v/>
      </c>
      <c r="J76" s="97" t="str">
        <f t="array" ref="J76">IF(I76="","",IFERROR(INDEX(HELPER!$G$8:$G$48,MATCH(I76,HELPER!$F$8:$F$48,-1)),""))</f>
        <v/>
      </c>
      <c r="K76" s="84" t="str">
        <f t="shared" si="3"/>
        <v/>
      </c>
      <c r="L76" s="45"/>
      <c r="M76" s="45"/>
    </row>
    <row r="77" customHeight="1" spans="1:13">
      <c r="A77" s="45"/>
      <c r="B77" s="96">
        <v>13</v>
      </c>
      <c r="C77" s="71" t="str">
        <f>IF('INPUT DATA'!N23="","",'INPUT DATA'!N23)</f>
        <v/>
      </c>
      <c r="D77" s="72"/>
      <c r="E77" s="72"/>
      <c r="F77" s="80" t="str">
        <f>IF('TERM 1'!AC81="","",'TERM 1'!AC81)</f>
        <v/>
      </c>
      <c r="G77" s="80" t="str">
        <f>IF('TERM 2'!AC81="","",'TERM 2'!AC81)</f>
        <v/>
      </c>
      <c r="H77" s="81" t="str">
        <f>IF('TERM 3'!AC81="","",'TERM 3'!AC81)</f>
        <v/>
      </c>
      <c r="I77" s="82" t="str">
        <f t="shared" si="2"/>
        <v/>
      </c>
      <c r="J77" s="97" t="str">
        <f t="array" ref="J77">IF(I77="","",IFERROR(INDEX(HELPER!$G$8:$G$48,MATCH(I77,HELPER!$F$8:$F$48,-1)),""))</f>
        <v/>
      </c>
      <c r="K77" s="84" t="str">
        <f t="shared" si="3"/>
        <v/>
      </c>
      <c r="L77" s="45"/>
      <c r="M77" s="45"/>
    </row>
    <row r="78" customHeight="1" spans="1:13">
      <c r="A78" s="45"/>
      <c r="B78" s="96">
        <v>14</v>
      </c>
      <c r="C78" s="71" t="str">
        <f>IF('INPUT DATA'!N24="","",'INPUT DATA'!N24)</f>
        <v/>
      </c>
      <c r="D78" s="72"/>
      <c r="E78" s="72"/>
      <c r="F78" s="80" t="str">
        <f>IF('TERM 1'!AC82="","",'TERM 1'!AC82)</f>
        <v/>
      </c>
      <c r="G78" s="80" t="str">
        <f>IF('TERM 2'!AC82="","",'TERM 2'!AC82)</f>
        <v/>
      </c>
      <c r="H78" s="81" t="str">
        <f>IF('TERM 3'!AC82="","",'TERM 3'!AC82)</f>
        <v/>
      </c>
      <c r="I78" s="82" t="str">
        <f t="shared" si="2"/>
        <v/>
      </c>
      <c r="J78" s="97" t="str">
        <f t="array" ref="J78">IF(I78="","",IFERROR(INDEX(HELPER!$G$8:$G$48,MATCH(I78,HELPER!$F$8:$F$48,-1)),""))</f>
        <v/>
      </c>
      <c r="K78" s="84" t="str">
        <f t="shared" si="3"/>
        <v/>
      </c>
      <c r="L78" s="45"/>
      <c r="M78" s="45"/>
    </row>
    <row r="79" customHeight="1" spans="1:13">
      <c r="A79" s="45"/>
      <c r="B79" s="96">
        <v>15</v>
      </c>
      <c r="C79" s="71" t="str">
        <f>IF('INPUT DATA'!N25="","",'INPUT DATA'!N25)</f>
        <v/>
      </c>
      <c r="D79" s="72"/>
      <c r="E79" s="72"/>
      <c r="F79" s="80" t="str">
        <f>IF('TERM 1'!AC83="","",'TERM 1'!AC83)</f>
        <v/>
      </c>
      <c r="G79" s="80" t="str">
        <f>IF('TERM 2'!AC83="","",'TERM 2'!AC83)</f>
        <v/>
      </c>
      <c r="H79" s="81" t="str">
        <f>IF('TERM 3'!AC83="","",'TERM 3'!AC83)</f>
        <v/>
      </c>
      <c r="I79" s="82" t="str">
        <f t="shared" si="2"/>
        <v/>
      </c>
      <c r="J79" s="97" t="str">
        <f t="array" ref="J79">IF(I79="","",IFERROR(INDEX(HELPER!$G$8:$G$48,MATCH(I79,HELPER!$F$8:$F$48,-1)),""))</f>
        <v/>
      </c>
      <c r="K79" s="84" t="str">
        <f t="shared" si="3"/>
        <v/>
      </c>
      <c r="L79" s="45"/>
      <c r="M79" s="45"/>
    </row>
    <row r="80" customHeight="1" spans="1:13">
      <c r="A80" s="45"/>
      <c r="B80" s="96">
        <v>16</v>
      </c>
      <c r="C80" s="71" t="str">
        <f>IF('INPUT DATA'!N26="","",'INPUT DATA'!N26)</f>
        <v/>
      </c>
      <c r="D80" s="72"/>
      <c r="E80" s="72"/>
      <c r="F80" s="80" t="str">
        <f>IF('TERM 1'!AC84="","",'TERM 1'!AC84)</f>
        <v/>
      </c>
      <c r="G80" s="80" t="str">
        <f>IF('TERM 2'!AC84="","",'TERM 2'!AC84)</f>
        <v/>
      </c>
      <c r="H80" s="81" t="str">
        <f>IF('TERM 3'!AC84="","",'TERM 3'!AC84)</f>
        <v/>
      </c>
      <c r="I80" s="82" t="str">
        <f t="shared" si="2"/>
        <v/>
      </c>
      <c r="J80" s="97" t="str">
        <f t="array" ref="J80">IF(I80="","",IFERROR(INDEX(HELPER!$G$8:$G$48,MATCH(I80,HELPER!$F$8:$F$48,-1)),""))</f>
        <v/>
      </c>
      <c r="K80" s="84" t="str">
        <f t="shared" si="3"/>
        <v/>
      </c>
      <c r="L80" s="45"/>
      <c r="M80" s="45"/>
    </row>
    <row r="81" customHeight="1" spans="1:13">
      <c r="A81" s="45"/>
      <c r="B81" s="96">
        <v>17</v>
      </c>
      <c r="C81" s="71" t="str">
        <f>IF('INPUT DATA'!N27="","",'INPUT DATA'!N27)</f>
        <v/>
      </c>
      <c r="D81" s="72"/>
      <c r="E81" s="72"/>
      <c r="F81" s="80" t="str">
        <f>IF('TERM 1'!AC85="","",'TERM 1'!AC85)</f>
        <v/>
      </c>
      <c r="G81" s="80" t="str">
        <f>IF('TERM 2'!AC85="","",'TERM 2'!AC85)</f>
        <v/>
      </c>
      <c r="H81" s="81" t="str">
        <f>IF('TERM 3'!AC85="","",'TERM 3'!AC85)</f>
        <v/>
      </c>
      <c r="I81" s="82" t="str">
        <f t="shared" si="2"/>
        <v/>
      </c>
      <c r="J81" s="97" t="str">
        <f t="array" ref="J81">IF(I81="","",IFERROR(INDEX(HELPER!$G$8:$G$48,MATCH(I81,HELPER!$F$8:$F$48,-1)),""))</f>
        <v/>
      </c>
      <c r="K81" s="84" t="str">
        <f t="shared" si="3"/>
        <v/>
      </c>
      <c r="L81" s="45"/>
      <c r="M81" s="45"/>
    </row>
    <row r="82" customHeight="1" spans="1:13">
      <c r="A82" s="45"/>
      <c r="B82" s="96">
        <v>18</v>
      </c>
      <c r="C82" s="71" t="str">
        <f>IF('INPUT DATA'!N28="","",'INPUT DATA'!N28)</f>
        <v/>
      </c>
      <c r="D82" s="72"/>
      <c r="E82" s="72"/>
      <c r="F82" s="80" t="str">
        <f>IF('TERM 1'!AC86="","",'TERM 1'!AC86)</f>
        <v/>
      </c>
      <c r="G82" s="80" t="str">
        <f>IF('TERM 2'!AC86="","",'TERM 2'!AC86)</f>
        <v/>
      </c>
      <c r="H82" s="81" t="str">
        <f>IF('TERM 3'!AC86="","",'TERM 3'!AC86)</f>
        <v/>
      </c>
      <c r="I82" s="82" t="str">
        <f t="shared" si="2"/>
        <v/>
      </c>
      <c r="J82" s="97" t="str">
        <f t="array" ref="J82">IF(I82="","",IFERROR(INDEX(HELPER!$G$8:$G$48,MATCH(I82,HELPER!$F$8:$F$48,-1)),""))</f>
        <v/>
      </c>
      <c r="K82" s="84" t="str">
        <f t="shared" si="3"/>
        <v/>
      </c>
      <c r="L82" s="45"/>
      <c r="M82" s="45"/>
    </row>
    <row r="83" customHeight="1" spans="1:13">
      <c r="A83" s="45"/>
      <c r="B83" s="96">
        <v>19</v>
      </c>
      <c r="C83" s="71" t="str">
        <f>IF('INPUT DATA'!N29="","",'INPUT DATA'!N29)</f>
        <v/>
      </c>
      <c r="D83" s="72"/>
      <c r="E83" s="72"/>
      <c r="F83" s="80" t="str">
        <f>IF('TERM 1'!AC87="","",'TERM 1'!AC87)</f>
        <v/>
      </c>
      <c r="G83" s="80" t="str">
        <f>IF('TERM 2'!AC87="","",'TERM 2'!AC87)</f>
        <v/>
      </c>
      <c r="H83" s="81" t="str">
        <f>IF('TERM 3'!AC87="","",'TERM 3'!AC87)</f>
        <v/>
      </c>
      <c r="I83" s="82" t="str">
        <f t="shared" si="2"/>
        <v/>
      </c>
      <c r="J83" s="97" t="str">
        <f t="array" ref="J83">IF(I83="","",IFERROR(INDEX(HELPER!$G$8:$G$48,MATCH(I83,HELPER!$F$8:$F$48,-1)),""))</f>
        <v/>
      </c>
      <c r="K83" s="84" t="str">
        <f t="shared" si="3"/>
        <v/>
      </c>
      <c r="L83" s="45"/>
      <c r="M83" s="45"/>
    </row>
    <row r="84" customHeight="1" spans="1:13">
      <c r="A84" s="45"/>
      <c r="B84" s="98">
        <v>20</v>
      </c>
      <c r="C84" s="71" t="str">
        <f>IF('INPUT DATA'!N30="","",'INPUT DATA'!N30)</f>
        <v/>
      </c>
      <c r="D84" s="72"/>
      <c r="E84" s="72"/>
      <c r="F84" s="80" t="str">
        <f>IF('TERM 1'!AC88="","",'TERM 1'!AC88)</f>
        <v/>
      </c>
      <c r="G84" s="80" t="str">
        <f>IF('TERM 2'!AC88="","",'TERM 2'!AC88)</f>
        <v/>
      </c>
      <c r="H84" s="81" t="str">
        <f>IF('TERM 3'!AC88="","",'TERM 3'!AC88)</f>
        <v/>
      </c>
      <c r="I84" s="82" t="str">
        <f t="shared" si="2"/>
        <v/>
      </c>
      <c r="J84" s="97" t="str">
        <f t="array" ref="J84">IF(I84="","",IFERROR(INDEX(HELPER!$G$8:$G$48,MATCH(I84,HELPER!$F$8:$F$48,-1)),""))</f>
        <v/>
      </c>
      <c r="K84" s="84" t="str">
        <f t="shared" si="3"/>
        <v/>
      </c>
      <c r="L84" s="45"/>
      <c r="M84" s="45"/>
    </row>
    <row r="85" customHeight="1" spans="1:13">
      <c r="A85" s="45"/>
      <c r="B85" s="98">
        <v>21</v>
      </c>
      <c r="C85" s="71" t="str">
        <f>IF('INPUT DATA'!N31="","",'INPUT DATA'!N31)</f>
        <v/>
      </c>
      <c r="D85" s="72"/>
      <c r="E85" s="72"/>
      <c r="F85" s="80" t="str">
        <f>IF('TERM 1'!AC89="","",'TERM 1'!AC89)</f>
        <v/>
      </c>
      <c r="G85" s="80" t="str">
        <f>IF('TERM 2'!AC89="","",'TERM 2'!AC89)</f>
        <v/>
      </c>
      <c r="H85" s="81" t="str">
        <f>IF('TERM 3'!AC89="","",'TERM 3'!AC89)</f>
        <v/>
      </c>
      <c r="I85" s="82" t="str">
        <f t="shared" si="2"/>
        <v/>
      </c>
      <c r="J85" s="97" t="str">
        <f t="array" ref="J85">IF(I85="","",IFERROR(INDEX(HELPER!$G$8:$G$48,MATCH(I85,HELPER!$F$8:$F$48,-1)),""))</f>
        <v/>
      </c>
      <c r="K85" s="84" t="str">
        <f t="shared" si="3"/>
        <v/>
      </c>
      <c r="L85" s="45"/>
      <c r="M85" s="45"/>
    </row>
    <row r="86" customHeight="1" spans="1:13">
      <c r="A86" s="45"/>
      <c r="B86" s="98">
        <v>22</v>
      </c>
      <c r="C86" s="71" t="str">
        <f>IF('INPUT DATA'!N32="","",'INPUT DATA'!N32)</f>
        <v/>
      </c>
      <c r="D86" s="72"/>
      <c r="E86" s="72"/>
      <c r="F86" s="80" t="str">
        <f>IF('TERM 1'!AC90="","",'TERM 1'!AC90)</f>
        <v/>
      </c>
      <c r="G86" s="80" t="str">
        <f>IF('TERM 2'!AC90="","",'TERM 2'!AC90)</f>
        <v/>
      </c>
      <c r="H86" s="81" t="str">
        <f>IF('TERM 3'!AC90="","",'TERM 3'!AC90)</f>
        <v/>
      </c>
      <c r="I86" s="82" t="str">
        <f t="shared" si="2"/>
        <v/>
      </c>
      <c r="J86" s="97" t="str">
        <f t="array" ref="J86">IF(I86="","",IFERROR(INDEX(HELPER!$G$8:$G$48,MATCH(I86,HELPER!$F$8:$F$48,-1)),""))</f>
        <v/>
      </c>
      <c r="K86" s="84" t="str">
        <f t="shared" si="3"/>
        <v/>
      </c>
      <c r="L86" s="45"/>
      <c r="M86" s="45"/>
    </row>
    <row r="87" customHeight="1" spans="1:13">
      <c r="A87" s="45"/>
      <c r="B87" s="98">
        <v>23</v>
      </c>
      <c r="C87" s="71" t="str">
        <f>IF('INPUT DATA'!N33="","",'INPUT DATA'!N33)</f>
        <v/>
      </c>
      <c r="D87" s="72"/>
      <c r="E87" s="72"/>
      <c r="F87" s="80" t="str">
        <f>IF('TERM 1'!AC91="","",'TERM 1'!AC91)</f>
        <v/>
      </c>
      <c r="G87" s="80" t="str">
        <f>IF('TERM 2'!AC91="","",'TERM 2'!AC91)</f>
        <v/>
      </c>
      <c r="H87" s="81" t="str">
        <f>IF('TERM 3'!AC91="","",'TERM 3'!AC91)</f>
        <v/>
      </c>
      <c r="I87" s="82" t="str">
        <f t="shared" si="2"/>
        <v/>
      </c>
      <c r="J87" s="97" t="str">
        <f t="array" ref="J87">IF(I87="","",IFERROR(INDEX(HELPER!$G$8:$G$48,MATCH(I87,HELPER!$F$8:$F$48,-1)),""))</f>
        <v/>
      </c>
      <c r="K87" s="84" t="str">
        <f t="shared" si="3"/>
        <v/>
      </c>
      <c r="L87" s="45"/>
      <c r="M87" s="45"/>
    </row>
    <row r="88" customHeight="1" spans="1:13">
      <c r="A88" s="45"/>
      <c r="B88" s="98">
        <v>24</v>
      </c>
      <c r="C88" s="71" t="str">
        <f>IF('INPUT DATA'!N34="","",'INPUT DATA'!N34)</f>
        <v/>
      </c>
      <c r="D88" s="72"/>
      <c r="E88" s="72"/>
      <c r="F88" s="80" t="str">
        <f>IF('TERM 1'!AC92="","",'TERM 1'!AC92)</f>
        <v/>
      </c>
      <c r="G88" s="80" t="str">
        <f>IF('TERM 2'!AC92="","",'TERM 2'!AC92)</f>
        <v/>
      </c>
      <c r="H88" s="81" t="str">
        <f>IF('TERM 3'!AC92="","",'TERM 3'!AC92)</f>
        <v/>
      </c>
      <c r="I88" s="82" t="str">
        <f t="shared" si="2"/>
        <v/>
      </c>
      <c r="J88" s="97" t="str">
        <f t="array" ref="J88">IF(I88="","",IFERROR(INDEX(HELPER!$G$8:$G$48,MATCH(I88,HELPER!$F$8:$F$48,-1)),""))</f>
        <v/>
      </c>
      <c r="K88" s="84" t="str">
        <f t="shared" si="3"/>
        <v/>
      </c>
      <c r="L88" s="45"/>
      <c r="M88" s="45"/>
    </row>
    <row r="89" customHeight="1" spans="1:13">
      <c r="A89" s="45"/>
      <c r="B89" s="98">
        <v>25</v>
      </c>
      <c r="C89" s="71" t="str">
        <f>IF('INPUT DATA'!N35="","",'INPUT DATA'!N35)</f>
        <v/>
      </c>
      <c r="D89" s="72"/>
      <c r="E89" s="72"/>
      <c r="F89" s="80" t="str">
        <f>IF('TERM 1'!AC93="","",'TERM 1'!AC93)</f>
        <v/>
      </c>
      <c r="G89" s="80" t="str">
        <f>IF('TERM 2'!AC93="","",'TERM 2'!AC93)</f>
        <v/>
      </c>
      <c r="H89" s="81" t="str">
        <f>IF('TERM 3'!AC93="","",'TERM 3'!AC93)</f>
        <v/>
      </c>
      <c r="I89" s="82" t="str">
        <f t="shared" si="2"/>
        <v/>
      </c>
      <c r="J89" s="97" t="str">
        <f t="array" ref="J89">IF(I89="","",IFERROR(INDEX(HELPER!$G$8:$G$48,MATCH(I89,HELPER!$F$8:$F$48,-1)),""))</f>
        <v/>
      </c>
      <c r="K89" s="84" t="str">
        <f t="shared" si="3"/>
        <v/>
      </c>
      <c r="L89" s="45"/>
      <c r="M89" s="45"/>
    </row>
    <row r="90" customHeight="1" spans="1:13">
      <c r="A90" s="45"/>
      <c r="B90" s="98">
        <v>26</v>
      </c>
      <c r="C90" s="71" t="str">
        <f>IF('INPUT DATA'!N36="","",'INPUT DATA'!N36)</f>
        <v/>
      </c>
      <c r="D90" s="72"/>
      <c r="E90" s="72"/>
      <c r="F90" s="80" t="str">
        <f>IF('TERM 1'!AC94="","",'TERM 1'!AC94)</f>
        <v/>
      </c>
      <c r="G90" s="80" t="str">
        <f>IF('TERM 2'!AC94="","",'TERM 2'!AC94)</f>
        <v/>
      </c>
      <c r="H90" s="81" t="str">
        <f>IF('TERM 3'!AC94="","",'TERM 3'!AC94)</f>
        <v/>
      </c>
      <c r="I90" s="82" t="str">
        <f t="shared" si="2"/>
        <v/>
      </c>
      <c r="J90" s="97" t="str">
        <f t="array" ref="J90">IF(I90="","",IFERROR(INDEX(HELPER!$G$8:$G$48,MATCH(I90,HELPER!$F$8:$F$48,-1)),""))</f>
        <v/>
      </c>
      <c r="K90" s="84" t="str">
        <f t="shared" si="3"/>
        <v/>
      </c>
      <c r="L90" s="45"/>
      <c r="M90" s="45"/>
    </row>
    <row r="91" customHeight="1" spans="1:13">
      <c r="A91" s="45"/>
      <c r="B91" s="98">
        <v>27</v>
      </c>
      <c r="C91" s="71" t="str">
        <f>IF('INPUT DATA'!N37="","",'INPUT DATA'!N37)</f>
        <v/>
      </c>
      <c r="D91" s="72"/>
      <c r="E91" s="72"/>
      <c r="F91" s="80" t="str">
        <f>IF('TERM 1'!AC95="","",'TERM 1'!AC95)</f>
        <v/>
      </c>
      <c r="G91" s="80" t="str">
        <f>IF('TERM 2'!AC95="","",'TERM 2'!AC95)</f>
        <v/>
      </c>
      <c r="H91" s="81" t="str">
        <f>IF('TERM 3'!AC95="","",'TERM 3'!AC95)</f>
        <v/>
      </c>
      <c r="I91" s="82" t="str">
        <f t="shared" si="2"/>
        <v/>
      </c>
      <c r="J91" s="97" t="str">
        <f t="array" ref="J91">IF(I91="","",IFERROR(INDEX(HELPER!$G$8:$G$48,MATCH(I91,HELPER!$F$8:$F$48,-1)),""))</f>
        <v/>
      </c>
      <c r="K91" s="84" t="str">
        <f t="shared" si="3"/>
        <v/>
      </c>
      <c r="L91" s="45"/>
      <c r="M91" s="45"/>
    </row>
    <row r="92" customHeight="1" spans="1:13">
      <c r="A92" s="45"/>
      <c r="B92" s="98">
        <v>28</v>
      </c>
      <c r="C92" s="71" t="str">
        <f>IF('INPUT DATA'!N38="","",'INPUT DATA'!N38)</f>
        <v/>
      </c>
      <c r="D92" s="72"/>
      <c r="E92" s="72"/>
      <c r="F92" s="80" t="str">
        <f>IF('TERM 1'!AC96="","",'TERM 1'!AC96)</f>
        <v/>
      </c>
      <c r="G92" s="80" t="str">
        <f>IF('TERM 2'!AC96="","",'TERM 2'!AC96)</f>
        <v/>
      </c>
      <c r="H92" s="81" t="str">
        <f>IF('TERM 3'!AC96="","",'TERM 3'!AC96)</f>
        <v/>
      </c>
      <c r="I92" s="82" t="str">
        <f t="shared" si="2"/>
        <v/>
      </c>
      <c r="J92" s="97" t="str">
        <f t="array" ref="J92">IF(I92="","",IFERROR(INDEX(HELPER!$G$8:$G$48,MATCH(I92,HELPER!$F$8:$F$48,-1)),""))</f>
        <v/>
      </c>
      <c r="K92" s="84" t="str">
        <f t="shared" si="3"/>
        <v/>
      </c>
      <c r="L92" s="45"/>
      <c r="M92" s="45"/>
    </row>
    <row r="93" customHeight="1" spans="1:13">
      <c r="A93" s="45"/>
      <c r="B93" s="98">
        <v>29</v>
      </c>
      <c r="C93" s="71" t="str">
        <f>IF('INPUT DATA'!N39="","",'INPUT DATA'!N39)</f>
        <v/>
      </c>
      <c r="D93" s="72"/>
      <c r="E93" s="72"/>
      <c r="F93" s="80" t="str">
        <f>IF('TERM 1'!AC97="","",'TERM 1'!AC97)</f>
        <v/>
      </c>
      <c r="G93" s="80" t="str">
        <f>IF('TERM 2'!AC97="","",'TERM 2'!AC97)</f>
        <v/>
      </c>
      <c r="H93" s="81" t="str">
        <f>IF('TERM 3'!AC97="","",'TERM 3'!AC97)</f>
        <v/>
      </c>
      <c r="I93" s="82" t="str">
        <f t="shared" si="2"/>
        <v/>
      </c>
      <c r="J93" s="97" t="str">
        <f t="array" ref="J93">IF(I93="","",IFERROR(INDEX(HELPER!$G$8:$G$48,MATCH(I93,HELPER!$F$8:$F$48,-1)),""))</f>
        <v/>
      </c>
      <c r="K93" s="84" t="str">
        <f t="shared" si="3"/>
        <v/>
      </c>
      <c r="L93" s="45"/>
      <c r="M93" s="45"/>
    </row>
    <row r="94" customHeight="1" spans="1:13">
      <c r="A94" s="45"/>
      <c r="B94" s="98">
        <v>30</v>
      </c>
      <c r="C94" s="71" t="str">
        <f>IF('INPUT DATA'!N40="","",'INPUT DATA'!N40)</f>
        <v/>
      </c>
      <c r="D94" s="72"/>
      <c r="E94" s="72"/>
      <c r="F94" s="80" t="str">
        <f>IF('TERM 1'!AC98="","",'TERM 1'!AC98)</f>
        <v/>
      </c>
      <c r="G94" s="80" t="str">
        <f>IF('TERM 2'!AC98="","",'TERM 2'!AC98)</f>
        <v/>
      </c>
      <c r="H94" s="81" t="str">
        <f>IF('TERM 3'!AC98="","",'TERM 3'!AC98)</f>
        <v/>
      </c>
      <c r="I94" s="82" t="str">
        <f t="shared" si="2"/>
        <v/>
      </c>
      <c r="J94" s="97" t="str">
        <f t="array" ref="J94">IF(I94="","",IFERROR(INDEX(HELPER!$G$8:$G$48,MATCH(I94,HELPER!$F$8:$F$48,-1)),""))</f>
        <v/>
      </c>
      <c r="K94" s="84" t="str">
        <f t="shared" si="3"/>
        <v/>
      </c>
      <c r="L94" s="45"/>
      <c r="M94" s="45"/>
    </row>
    <row r="95" customHeight="1" spans="1:13">
      <c r="A95" s="45"/>
      <c r="B95" s="98">
        <v>31</v>
      </c>
      <c r="C95" s="71" t="str">
        <f>IF('INPUT DATA'!N41="","",'INPUT DATA'!N41)</f>
        <v/>
      </c>
      <c r="D95" s="72"/>
      <c r="E95" s="72"/>
      <c r="F95" s="80" t="str">
        <f>IF('TERM 1'!AC99="","",'TERM 1'!AC99)</f>
        <v/>
      </c>
      <c r="G95" s="80" t="str">
        <f>IF('TERM 2'!AC99="","",'TERM 2'!AC99)</f>
        <v/>
      </c>
      <c r="H95" s="81" t="str">
        <f>IF('TERM 3'!AC99="","",'TERM 3'!AC99)</f>
        <v/>
      </c>
      <c r="I95" s="82" t="str">
        <f t="shared" si="2"/>
        <v/>
      </c>
      <c r="J95" s="97" t="str">
        <f t="array" ref="J95">IF(I95="","",IFERROR(INDEX(HELPER!$G$8:$G$48,MATCH(I95,HELPER!$F$8:$F$48,-1)),""))</f>
        <v/>
      </c>
      <c r="K95" s="84" t="str">
        <f t="shared" si="3"/>
        <v/>
      </c>
      <c r="L95" s="45"/>
      <c r="M95" s="45"/>
    </row>
    <row r="96" customHeight="1" spans="1:13">
      <c r="A96" s="45"/>
      <c r="B96" s="98">
        <v>32</v>
      </c>
      <c r="C96" s="71" t="str">
        <f>IF('INPUT DATA'!N42="","",'INPUT DATA'!N42)</f>
        <v/>
      </c>
      <c r="D96" s="72"/>
      <c r="E96" s="72"/>
      <c r="F96" s="80" t="str">
        <f>IF('TERM 1'!AC100="","",'TERM 1'!AC100)</f>
        <v/>
      </c>
      <c r="G96" s="80" t="str">
        <f>IF('TERM 2'!AC100="","",'TERM 2'!AC100)</f>
        <v/>
      </c>
      <c r="H96" s="81" t="str">
        <f>IF('TERM 3'!AC100="","",'TERM 3'!AC100)</f>
        <v/>
      </c>
      <c r="I96" s="82" t="str">
        <f t="shared" si="2"/>
        <v/>
      </c>
      <c r="J96" s="97" t="str">
        <f t="array" ref="J96">IF(I96="","",IFERROR(INDEX(HELPER!$G$8:$G$48,MATCH(I96,HELPER!$F$8:$F$48,-1)),""))</f>
        <v/>
      </c>
      <c r="K96" s="84" t="str">
        <f t="shared" si="3"/>
        <v/>
      </c>
      <c r="L96" s="45"/>
      <c r="M96" s="45"/>
    </row>
    <row r="97" customHeight="1" spans="1:13">
      <c r="A97" s="45"/>
      <c r="B97" s="98">
        <v>33</v>
      </c>
      <c r="C97" s="71" t="str">
        <f>IF('INPUT DATA'!N43="","",'INPUT DATA'!N43)</f>
        <v/>
      </c>
      <c r="D97" s="72"/>
      <c r="E97" s="72"/>
      <c r="F97" s="80" t="str">
        <f>IF('TERM 1'!AC101="","",'TERM 1'!AC101)</f>
        <v/>
      </c>
      <c r="G97" s="80" t="str">
        <f>IF('TERM 2'!AC101="","",'TERM 2'!AC101)</f>
        <v/>
      </c>
      <c r="H97" s="81" t="str">
        <f>IF('TERM 3'!AC101="","",'TERM 3'!AC101)</f>
        <v/>
      </c>
      <c r="I97" s="82" t="str">
        <f t="shared" si="2"/>
        <v/>
      </c>
      <c r="J97" s="97" t="str">
        <f t="array" ref="J97">IF(I97="","",IFERROR(INDEX(HELPER!$G$8:$G$48,MATCH(I97,HELPER!$F$8:$F$48,-1)),""))</f>
        <v/>
      </c>
      <c r="K97" s="84" t="str">
        <f t="shared" si="3"/>
        <v/>
      </c>
      <c r="L97" s="45"/>
      <c r="M97" s="45"/>
    </row>
    <row r="98" customHeight="1" spans="1:13">
      <c r="A98" s="45"/>
      <c r="B98" s="98">
        <v>34</v>
      </c>
      <c r="C98" s="71" t="str">
        <f>IF('INPUT DATA'!N44="","",'INPUT DATA'!N44)</f>
        <v/>
      </c>
      <c r="D98" s="72"/>
      <c r="E98" s="72"/>
      <c r="F98" s="80" t="str">
        <f>IF('TERM 1'!AC102="","",'TERM 1'!AC102)</f>
        <v/>
      </c>
      <c r="G98" s="80" t="str">
        <f>IF('TERM 2'!AC102="","",'TERM 2'!AC102)</f>
        <v/>
      </c>
      <c r="H98" s="81" t="str">
        <f>IF('TERM 3'!AC102="","",'TERM 3'!AC102)</f>
        <v/>
      </c>
      <c r="I98" s="82" t="str">
        <f t="shared" si="2"/>
        <v/>
      </c>
      <c r="J98" s="97" t="str">
        <f t="array" ref="J98">IF(I98="","",IFERROR(INDEX(HELPER!$G$8:$G$48,MATCH(I98,HELPER!$F$8:$F$48,-1)),""))</f>
        <v/>
      </c>
      <c r="K98" s="84" t="str">
        <f t="shared" si="3"/>
        <v/>
      </c>
      <c r="L98" s="45"/>
      <c r="M98" s="45"/>
    </row>
    <row r="99" customHeight="1" spans="1:13">
      <c r="A99" s="45"/>
      <c r="B99" s="98">
        <v>35</v>
      </c>
      <c r="C99" s="71" t="str">
        <f>IF('INPUT DATA'!N45="","",'INPUT DATA'!N45)</f>
        <v/>
      </c>
      <c r="D99" s="72"/>
      <c r="E99" s="72"/>
      <c r="F99" s="80" t="str">
        <f>IF('TERM 1'!AC103="","",'TERM 1'!AC103)</f>
        <v/>
      </c>
      <c r="G99" s="80" t="str">
        <f>IF('TERM 2'!AC103="","",'TERM 2'!AC103)</f>
        <v/>
      </c>
      <c r="H99" s="81" t="str">
        <f>IF('TERM 3'!AC103="","",'TERM 3'!AC103)</f>
        <v/>
      </c>
      <c r="I99" s="82" t="str">
        <f t="shared" si="2"/>
        <v/>
      </c>
      <c r="J99" s="97" t="str">
        <f t="array" ref="J99">IF(I99="","",IFERROR(INDEX(HELPER!$G$8:$G$48,MATCH(I99,HELPER!$F$8:$F$48,-1)),""))</f>
        <v/>
      </c>
      <c r="K99" s="84" t="str">
        <f t="shared" si="3"/>
        <v/>
      </c>
      <c r="L99" s="45"/>
      <c r="M99" s="45"/>
    </row>
    <row r="100" customHeight="1" spans="1:13">
      <c r="A100" s="45"/>
      <c r="B100" s="98">
        <v>36</v>
      </c>
      <c r="C100" s="71" t="str">
        <f>IF('INPUT DATA'!N46="","",'INPUT DATA'!N46)</f>
        <v/>
      </c>
      <c r="D100" s="72"/>
      <c r="E100" s="72"/>
      <c r="F100" s="80" t="str">
        <f>IF('TERM 1'!AC104="","",'TERM 1'!AC104)</f>
        <v/>
      </c>
      <c r="G100" s="80" t="str">
        <f>IF('TERM 2'!AC104="","",'TERM 2'!AC104)</f>
        <v/>
      </c>
      <c r="H100" s="81" t="str">
        <f>IF('TERM 3'!AC104="","",'TERM 3'!AC104)</f>
        <v/>
      </c>
      <c r="I100" s="82" t="str">
        <f t="shared" si="2"/>
        <v/>
      </c>
      <c r="J100" s="97" t="str">
        <f t="array" ref="J100">IF(I100="","",IFERROR(INDEX(HELPER!$G$8:$G$48,MATCH(I100,HELPER!$F$8:$F$48,-1)),""))</f>
        <v/>
      </c>
      <c r="K100" s="84" t="str">
        <f t="shared" si="3"/>
        <v/>
      </c>
      <c r="L100" s="45"/>
      <c r="M100" s="45"/>
    </row>
    <row r="101" customHeight="1" spans="1:13">
      <c r="A101" s="45"/>
      <c r="B101" s="98">
        <v>37</v>
      </c>
      <c r="C101" s="71" t="str">
        <f>IF('INPUT DATA'!N47="","",'INPUT DATA'!N47)</f>
        <v/>
      </c>
      <c r="D101" s="72"/>
      <c r="E101" s="72"/>
      <c r="F101" s="80" t="str">
        <f>IF('TERM 1'!AC105="","",'TERM 1'!AC105)</f>
        <v/>
      </c>
      <c r="G101" s="80" t="str">
        <f>IF('TERM 2'!AC105="","",'TERM 2'!AC105)</f>
        <v/>
      </c>
      <c r="H101" s="81" t="str">
        <f>IF('TERM 3'!AC105="","",'TERM 3'!AC105)</f>
        <v/>
      </c>
      <c r="I101" s="82" t="str">
        <f t="shared" si="2"/>
        <v/>
      </c>
      <c r="J101" s="97" t="str">
        <f t="array" ref="J101">IF(I101="","",IFERROR(INDEX(HELPER!$G$8:$G$48,MATCH(I101,HELPER!$F$8:$F$48,-1)),""))</f>
        <v/>
      </c>
      <c r="K101" s="84" t="str">
        <f t="shared" si="3"/>
        <v/>
      </c>
      <c r="L101" s="45"/>
      <c r="M101" s="45"/>
    </row>
    <row r="102" customHeight="1" spans="1:13">
      <c r="A102" s="45"/>
      <c r="B102" s="98">
        <v>38</v>
      </c>
      <c r="C102" s="71" t="str">
        <f>IF('INPUT DATA'!N48="","",'INPUT DATA'!N48)</f>
        <v/>
      </c>
      <c r="D102" s="72"/>
      <c r="E102" s="72"/>
      <c r="F102" s="80" t="str">
        <f>IF('TERM 1'!AC106="","",'TERM 1'!AC106)</f>
        <v/>
      </c>
      <c r="G102" s="80" t="str">
        <f>IF('TERM 2'!AC106="","",'TERM 2'!AC106)</f>
        <v/>
      </c>
      <c r="H102" s="81" t="str">
        <f>IF('TERM 3'!AC106="","",'TERM 3'!AC106)</f>
        <v/>
      </c>
      <c r="I102" s="82" t="str">
        <f t="shared" si="2"/>
        <v/>
      </c>
      <c r="J102" s="97" t="str">
        <f t="array" ref="J102">IF(I102="","",IFERROR(INDEX(HELPER!$G$8:$G$48,MATCH(I102,HELPER!$F$8:$F$48,-1)),""))</f>
        <v/>
      </c>
      <c r="K102" s="84" t="str">
        <f t="shared" si="3"/>
        <v/>
      </c>
      <c r="L102" s="45"/>
      <c r="M102" s="45"/>
    </row>
    <row r="103" customHeight="1" spans="1:13">
      <c r="A103" s="45"/>
      <c r="B103" s="98">
        <v>39</v>
      </c>
      <c r="C103" s="71" t="str">
        <f>IF('INPUT DATA'!N49="","",'INPUT DATA'!N49)</f>
        <v/>
      </c>
      <c r="D103" s="72"/>
      <c r="E103" s="72"/>
      <c r="F103" s="80" t="str">
        <f>IF('TERM 1'!AC107="","",'TERM 1'!AC107)</f>
        <v/>
      </c>
      <c r="G103" s="80" t="str">
        <f>IF('TERM 2'!AC107="","",'TERM 2'!AC107)</f>
        <v/>
      </c>
      <c r="H103" s="81" t="str">
        <f>IF('TERM 3'!AC107="","",'TERM 3'!AC107)</f>
        <v/>
      </c>
      <c r="I103" s="82" t="str">
        <f t="shared" si="2"/>
        <v/>
      </c>
      <c r="J103" s="97" t="str">
        <f t="array" ref="J103">IF(I103="","",IFERROR(INDEX(HELPER!$G$8:$G$48,MATCH(I103,HELPER!$F$8:$F$48,-1)),""))</f>
        <v/>
      </c>
      <c r="K103" s="84" t="str">
        <f t="shared" si="3"/>
        <v/>
      </c>
      <c r="L103" s="45"/>
      <c r="M103" s="45"/>
    </row>
    <row r="104" customHeight="1" spans="1:13">
      <c r="A104" s="45"/>
      <c r="B104" s="98">
        <v>40</v>
      </c>
      <c r="C104" s="71" t="str">
        <f>IF('INPUT DATA'!N50="","",'INPUT DATA'!N50)</f>
        <v/>
      </c>
      <c r="D104" s="72"/>
      <c r="E104" s="72"/>
      <c r="F104" s="80" t="str">
        <f>IF('TERM 1'!AC108="","",'TERM 1'!AC108)</f>
        <v/>
      </c>
      <c r="G104" s="80" t="str">
        <f>IF('TERM 2'!AC108="","",'TERM 2'!AC108)</f>
        <v/>
      </c>
      <c r="H104" s="81" t="str">
        <f>IF('TERM 3'!AC108="","",'TERM 3'!AC108)</f>
        <v/>
      </c>
      <c r="I104" s="82" t="str">
        <f t="shared" si="2"/>
        <v/>
      </c>
      <c r="J104" s="97" t="str">
        <f t="array" ref="J104">IF(I104="","",IFERROR(INDEX(HELPER!$G$8:$G$48,MATCH(I104,HELPER!$F$8:$F$48,-1)),""))</f>
        <v/>
      </c>
      <c r="K104" s="84" t="str">
        <f t="shared" si="3"/>
        <v/>
      </c>
      <c r="L104" s="45"/>
      <c r="M104" s="45"/>
    </row>
    <row r="105" customHeight="1" spans="1:13">
      <c r="A105" s="45"/>
      <c r="B105" s="98">
        <v>41</v>
      </c>
      <c r="C105" s="71" t="str">
        <f>IF('INPUT DATA'!N51="","",'INPUT DATA'!N51)</f>
        <v/>
      </c>
      <c r="D105" s="72"/>
      <c r="E105" s="72"/>
      <c r="F105" s="80" t="str">
        <f>IF('TERM 1'!AC109="","",'TERM 1'!AC109)</f>
        <v/>
      </c>
      <c r="G105" s="80" t="str">
        <f>IF('TERM 2'!AC109="","",'TERM 2'!AC109)</f>
        <v/>
      </c>
      <c r="H105" s="81" t="str">
        <f>IF('TERM 3'!AC109="","",'TERM 3'!AC109)</f>
        <v/>
      </c>
      <c r="I105" s="82" t="str">
        <f t="shared" si="2"/>
        <v/>
      </c>
      <c r="J105" s="97" t="str">
        <f t="array" ref="J105">IF(I105="","",IFERROR(INDEX(HELPER!$G$8:$G$48,MATCH(I105,HELPER!$F$8:$F$48,-1)),""))</f>
        <v/>
      </c>
      <c r="K105" s="84" t="str">
        <f t="shared" si="3"/>
        <v/>
      </c>
      <c r="L105" s="45"/>
      <c r="M105" s="45"/>
    </row>
    <row r="106" customHeight="1" spans="1:13">
      <c r="A106" s="45"/>
      <c r="B106" s="98">
        <v>42</v>
      </c>
      <c r="C106" s="71" t="str">
        <f>IF('INPUT DATA'!N52="","",'INPUT DATA'!N52)</f>
        <v/>
      </c>
      <c r="D106" s="72"/>
      <c r="E106" s="72"/>
      <c r="F106" s="80" t="str">
        <f>IF('TERM 1'!AC110="","",'TERM 1'!AC110)</f>
        <v/>
      </c>
      <c r="G106" s="80" t="str">
        <f>IF('TERM 2'!AC110="","",'TERM 2'!AC110)</f>
        <v/>
      </c>
      <c r="H106" s="81" t="str">
        <f>IF('TERM 3'!AC110="","",'TERM 3'!AC110)</f>
        <v/>
      </c>
      <c r="I106" s="82" t="str">
        <f t="shared" si="2"/>
        <v/>
      </c>
      <c r="J106" s="97" t="str">
        <f t="array" ref="J106">IF(I106="","",IFERROR(INDEX(HELPER!$G$8:$G$48,MATCH(I106,HELPER!$F$8:$F$48,-1)),""))</f>
        <v/>
      </c>
      <c r="K106" s="84" t="str">
        <f t="shared" si="3"/>
        <v/>
      </c>
      <c r="L106" s="45"/>
      <c r="M106" s="45"/>
    </row>
    <row r="107" customHeight="1" spans="1:13">
      <c r="A107" s="45"/>
      <c r="B107" s="98">
        <v>43</v>
      </c>
      <c r="C107" s="71" t="str">
        <f>IF('INPUT DATA'!N53="","",'INPUT DATA'!N53)</f>
        <v/>
      </c>
      <c r="D107" s="72"/>
      <c r="E107" s="72"/>
      <c r="F107" s="80" t="str">
        <f>IF('TERM 1'!AC111="","",'TERM 1'!AC111)</f>
        <v/>
      </c>
      <c r="G107" s="80" t="str">
        <f>IF('TERM 2'!AC111="","",'TERM 2'!AC111)</f>
        <v/>
      </c>
      <c r="H107" s="81" t="str">
        <f>IF('TERM 3'!AC111="","",'TERM 3'!AC111)</f>
        <v/>
      </c>
      <c r="I107" s="82" t="str">
        <f t="shared" si="2"/>
        <v/>
      </c>
      <c r="J107" s="97" t="str">
        <f t="array" ref="J107">IF(I107="","",IFERROR(INDEX(HELPER!$G$8:$G$48,MATCH(I107,HELPER!$F$8:$F$48,-1)),""))</f>
        <v/>
      </c>
      <c r="K107" s="84" t="str">
        <f t="shared" si="3"/>
        <v/>
      </c>
      <c r="L107" s="45"/>
      <c r="M107" s="45"/>
    </row>
    <row r="108" customHeight="1" spans="1:13">
      <c r="A108" s="45"/>
      <c r="B108" s="98">
        <v>44</v>
      </c>
      <c r="C108" s="71" t="str">
        <f>IF('INPUT DATA'!N54="","",'INPUT DATA'!N54)</f>
        <v/>
      </c>
      <c r="D108" s="72"/>
      <c r="E108" s="72"/>
      <c r="F108" s="80" t="str">
        <f>IF('TERM 1'!AC112="","",'TERM 1'!AC112)</f>
        <v/>
      </c>
      <c r="G108" s="80" t="str">
        <f>IF('TERM 2'!AC112="","",'TERM 2'!AC112)</f>
        <v/>
      </c>
      <c r="H108" s="81" t="str">
        <f>IF('TERM 3'!AC112="","",'TERM 3'!AC112)</f>
        <v/>
      </c>
      <c r="I108" s="82" t="str">
        <f t="shared" si="2"/>
        <v/>
      </c>
      <c r="J108" s="97" t="str">
        <f t="array" ref="J108">IF(I108="","",IFERROR(INDEX(HELPER!$G$8:$G$48,MATCH(I108,HELPER!$F$8:$F$48,-1)),""))</f>
        <v/>
      </c>
      <c r="K108" s="84" t="str">
        <f t="shared" si="3"/>
        <v/>
      </c>
      <c r="L108" s="45"/>
      <c r="M108" s="45"/>
    </row>
    <row r="109" customHeight="1" spans="1:13">
      <c r="A109" s="45"/>
      <c r="B109" s="98">
        <v>45</v>
      </c>
      <c r="C109" s="71" t="str">
        <f>IF('INPUT DATA'!N55="","",'INPUT DATA'!N55)</f>
        <v/>
      </c>
      <c r="D109" s="72"/>
      <c r="E109" s="72"/>
      <c r="F109" s="80" t="str">
        <f>IF('TERM 1'!AC113="","",'TERM 1'!AC113)</f>
        <v/>
      </c>
      <c r="G109" s="80" t="str">
        <f>IF('TERM 2'!AC113="","",'TERM 2'!AC113)</f>
        <v/>
      </c>
      <c r="H109" s="81" t="str">
        <f>IF('TERM 3'!AC113="","",'TERM 3'!AC113)</f>
        <v/>
      </c>
      <c r="I109" s="82" t="str">
        <f t="shared" si="2"/>
        <v/>
      </c>
      <c r="J109" s="97" t="str">
        <f t="array" ref="J109">IF(I109="","",IFERROR(INDEX(HELPER!$G$8:$G$48,MATCH(I109,HELPER!$F$8:$F$48,-1)),""))</f>
        <v/>
      </c>
      <c r="K109" s="84" t="str">
        <f t="shared" si="3"/>
        <v/>
      </c>
      <c r="L109" s="45"/>
      <c r="M109" s="45"/>
    </row>
    <row r="110" customHeight="1" spans="1:13">
      <c r="A110" s="45"/>
      <c r="B110" s="98">
        <v>46</v>
      </c>
      <c r="C110" s="71" t="str">
        <f>IF('INPUT DATA'!N56="","",'INPUT DATA'!N56)</f>
        <v/>
      </c>
      <c r="D110" s="72"/>
      <c r="E110" s="72"/>
      <c r="F110" s="80" t="str">
        <f>IF('TERM 1'!AC114="","",'TERM 1'!AC114)</f>
        <v/>
      </c>
      <c r="G110" s="80" t="str">
        <f>IF('TERM 2'!AC114="","",'TERM 2'!AC114)</f>
        <v/>
      </c>
      <c r="H110" s="81" t="str">
        <f>IF('TERM 3'!AC114="","",'TERM 3'!AC114)</f>
        <v/>
      </c>
      <c r="I110" s="82" t="str">
        <f t="shared" si="2"/>
        <v/>
      </c>
      <c r="J110" s="97" t="str">
        <f t="array" ref="J110">IF(I110="","",IFERROR(INDEX(HELPER!$G$8:$G$48,MATCH(I110,HELPER!$F$8:$F$48,-1)),""))</f>
        <v/>
      </c>
      <c r="K110" s="84" t="str">
        <f t="shared" si="3"/>
        <v/>
      </c>
      <c r="L110" s="45"/>
      <c r="M110" s="45"/>
    </row>
    <row r="111" customHeight="1" spans="1:13">
      <c r="A111" s="45"/>
      <c r="B111" s="98">
        <v>47</v>
      </c>
      <c r="C111" s="71" t="str">
        <f>IF('INPUT DATA'!N57="","",'INPUT DATA'!N57)</f>
        <v/>
      </c>
      <c r="D111" s="72"/>
      <c r="E111" s="72"/>
      <c r="F111" s="80" t="str">
        <f>IF('TERM 1'!AC115="","",'TERM 1'!AC115)</f>
        <v/>
      </c>
      <c r="G111" s="80" t="str">
        <f>IF('TERM 2'!AC115="","",'TERM 2'!AC115)</f>
        <v/>
      </c>
      <c r="H111" s="81" t="str">
        <f>IF('TERM 3'!AC115="","",'TERM 3'!AC115)</f>
        <v/>
      </c>
      <c r="I111" s="82" t="str">
        <f t="shared" si="2"/>
        <v/>
      </c>
      <c r="J111" s="97" t="str">
        <f t="array" ref="J111">IF(I111="","",IFERROR(INDEX(HELPER!$G$8:$G$48,MATCH(I111,HELPER!$F$8:$F$48,-1)),""))</f>
        <v/>
      </c>
      <c r="K111" s="84" t="str">
        <f t="shared" si="3"/>
        <v/>
      </c>
      <c r="L111" s="45"/>
      <c r="M111" s="45"/>
    </row>
    <row r="112" customHeight="1" spans="1:13">
      <c r="A112" s="45"/>
      <c r="B112" s="98">
        <v>48</v>
      </c>
      <c r="C112" s="71" t="str">
        <f>IF('INPUT DATA'!N58="","",'INPUT DATA'!N58)</f>
        <v/>
      </c>
      <c r="D112" s="72"/>
      <c r="E112" s="72"/>
      <c r="F112" s="80" t="str">
        <f>IF('TERM 1'!AC116="","",'TERM 1'!AC116)</f>
        <v/>
      </c>
      <c r="G112" s="80" t="str">
        <f>IF('TERM 2'!AC116="","",'TERM 2'!AC116)</f>
        <v/>
      </c>
      <c r="H112" s="81" t="str">
        <f>IF('TERM 3'!AC116="","",'TERM 3'!AC116)</f>
        <v/>
      </c>
      <c r="I112" s="82" t="str">
        <f t="shared" si="2"/>
        <v/>
      </c>
      <c r="J112" s="97" t="str">
        <f t="array" ref="J112">IF(I112="","",IFERROR(INDEX(HELPER!$G$8:$G$48,MATCH(I112,HELPER!$F$8:$F$48,-1)),""))</f>
        <v/>
      </c>
      <c r="K112" s="84" t="str">
        <f t="shared" si="3"/>
        <v/>
      </c>
      <c r="L112" s="45"/>
      <c r="M112" s="45"/>
    </row>
    <row r="113" customHeight="1" spans="1:13">
      <c r="A113" s="45"/>
      <c r="B113" s="98">
        <v>49</v>
      </c>
      <c r="C113" s="71" t="str">
        <f>IF('INPUT DATA'!N59="","",'INPUT DATA'!N59)</f>
        <v/>
      </c>
      <c r="D113" s="72"/>
      <c r="E113" s="72"/>
      <c r="F113" s="80" t="str">
        <f>IF('TERM 1'!AC117="","",'TERM 1'!AC117)</f>
        <v/>
      </c>
      <c r="G113" s="80" t="str">
        <f>IF('TERM 2'!AC117="","",'TERM 2'!AC117)</f>
        <v/>
      </c>
      <c r="H113" s="81" t="str">
        <f>IF('TERM 3'!AC117="","",'TERM 3'!AC117)</f>
        <v/>
      </c>
      <c r="I113" s="82" t="str">
        <f t="shared" si="2"/>
        <v/>
      </c>
      <c r="J113" s="97" t="str">
        <f t="array" ref="J113">IF(I113="","",IFERROR(INDEX(HELPER!$G$8:$G$48,MATCH(I113,HELPER!$F$8:$F$48,-1)),""))</f>
        <v/>
      </c>
      <c r="K113" s="84" t="str">
        <f t="shared" si="3"/>
        <v/>
      </c>
      <c r="L113" s="45"/>
      <c r="M113" s="45"/>
    </row>
    <row r="114" customHeight="1" spans="1:13">
      <c r="A114" s="45"/>
      <c r="B114" s="99">
        <v>50</v>
      </c>
      <c r="C114" s="100" t="str">
        <f>IF('INPUT DATA'!N60="","",'INPUT DATA'!N60)</f>
        <v/>
      </c>
      <c r="D114" s="101"/>
      <c r="E114" s="101"/>
      <c r="F114" s="88" t="str">
        <f>IF('TERM 1'!AC118="","",'TERM 1'!AC118)</f>
        <v/>
      </c>
      <c r="G114" s="88" t="str">
        <f>IF('TERM 2'!AC118="","",'TERM 2'!AC118)</f>
        <v/>
      </c>
      <c r="H114" s="89" t="str">
        <f>IF('TERM 3'!AC118="","",'TERM 3'!AC118)</f>
        <v/>
      </c>
      <c r="I114" s="90" t="str">
        <f t="shared" si="2"/>
        <v/>
      </c>
      <c r="J114" s="102" t="str">
        <f t="array" ref="J114">IF(I114="","",IFERROR(INDEX(HELPER!$G$8:$G$48,MATCH(I114,HELPER!$F$8:$F$48,-1)),""))</f>
        <v/>
      </c>
      <c r="K114" s="92" t="str">
        <f t="shared" si="3"/>
        <v/>
      </c>
      <c r="L114" s="45"/>
      <c r="M114" s="45"/>
    </row>
    <row r="115" ht="15.75" customHeight="1" spans="1:13">
      <c r="A115" s="45"/>
      <c r="B115" s="45"/>
      <c r="C115" s="45"/>
      <c r="F115" s="45"/>
      <c r="G115" s="45"/>
      <c r="H115" s="45"/>
      <c r="I115" s="45"/>
      <c r="J115" s="45"/>
      <c r="K115" s="45"/>
      <c r="L115" s="45"/>
      <c r="M115" s="45"/>
    </row>
    <row r="116" ht="15.75" customHeight="1" spans="1:13">
      <c r="A116" s="45"/>
      <c r="B116" s="45"/>
      <c r="C116" s="45"/>
      <c r="D116" s="45"/>
      <c r="E116" s="45"/>
      <c r="F116" s="45"/>
      <c r="G116" s="45"/>
      <c r="H116" s="45"/>
      <c r="I116" s="45"/>
      <c r="J116" s="45"/>
      <c r="K116" s="45"/>
      <c r="L116" s="45"/>
      <c r="M116" s="45"/>
    </row>
    <row r="117" ht="15.75" customHeight="1" spans="1:13">
      <c r="F117" s="42"/>
      <c r="G117" s="42"/>
      <c r="H117" s="42"/>
      <c r="I117" s="42"/>
      <c r="J117" s="42"/>
      <c r="K117" s="42"/>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
    <mergeCell ref="D5:E5"/>
    <mergeCell ref="G5:H5"/>
    <mergeCell ref="J5:K5"/>
    <mergeCell ref="D6:H6"/>
    <mergeCell ref="J6:K6"/>
    <mergeCell ref="B8:K8"/>
    <mergeCell ref="B9:C9"/>
    <mergeCell ref="D9:G9"/>
    <mergeCell ref="I9:K9"/>
    <mergeCell ref="B10:C10"/>
    <mergeCell ref="D10:G10"/>
    <mergeCell ref="I10:K10"/>
    <mergeCell ref="F11:H11"/>
    <mergeCell ref="B13:K13"/>
    <mergeCell ref="N13:Q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I11:I12"/>
    <mergeCell ref="J11:J12"/>
    <mergeCell ref="K11:K12"/>
    <mergeCell ref="B2:K3"/>
    <mergeCell ref="B11:E12"/>
  </mergeCells>
  <pageMargins left="0.7" right="0.7" top="0.75" bottom="0.75" header="0" footer="0"/>
  <pageSetup paperSize="9" fitToHeight="0"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outlinePr summaryBelow="0" summaryRight="0"/>
  </sheetPr>
  <dimension ref="A1:I1000"/>
  <sheetViews>
    <sheetView showGridLines="0" workbookViewId="0">
      <pane ySplit="7" topLeftCell="A8" activePane="bottomLeft" state="frozen"/>
      <selection/>
      <selection pane="bottomLeft" activeCell="B9" sqref="B9"/>
    </sheetView>
  </sheetViews>
  <sheetFormatPr defaultColWidth="12.6285714285714" defaultRowHeight="15" customHeight="1"/>
  <cols>
    <col min="1" max="1" width="3.87619047619048" customWidth="1"/>
    <col min="2" max="3" width="15.1333333333333" customWidth="1"/>
    <col min="4" max="4" width="21.1333333333333" customWidth="1"/>
    <col min="5" max="5" width="12.6285714285714" customWidth="1"/>
    <col min="6" max="7" width="17.5047619047619" customWidth="1"/>
    <col min="8" max="8" width="25.5047619047619" customWidth="1"/>
    <col min="9" max="9" width="3.87619047619048" customWidth="1"/>
  </cols>
  <sheetData>
    <row r="1" ht="15.75" customHeight="1"/>
    <row r="2" ht="36.75" customHeight="1" spans="1:9">
      <c r="B2" s="1" t="s">
        <v>50</v>
      </c>
      <c r="C2" s="2"/>
    </row>
    <row r="3" ht="36" customHeight="1" spans="1:9">
      <c r="B3" s="3" t="s">
        <v>51</v>
      </c>
      <c r="C3" s="2"/>
    </row>
    <row r="4" ht="15.75" customHeight="1"/>
    <row r="5" ht="15.75" customHeight="1"/>
    <row r="6" ht="15.75" customHeight="1" spans="1:9">
      <c r="A6" s="4"/>
      <c r="B6" s="5" t="s">
        <v>52</v>
      </c>
      <c r="C6" s="6"/>
      <c r="D6" s="6"/>
      <c r="E6" s="7"/>
      <c r="F6" s="8" t="s">
        <v>45</v>
      </c>
      <c r="G6" s="9"/>
      <c r="H6" s="10"/>
      <c r="I6" s="4"/>
    </row>
    <row r="7" ht="15.75" customHeight="1" spans="1:9">
      <c r="B7" s="11" t="s">
        <v>53</v>
      </c>
      <c r="C7" s="12" t="s">
        <v>54</v>
      </c>
      <c r="D7" s="13" t="s">
        <v>55</v>
      </c>
      <c r="E7" s="7"/>
      <c r="F7" s="14" t="s">
        <v>56</v>
      </c>
      <c r="G7" s="15" t="s">
        <v>29</v>
      </c>
      <c r="H7" s="16" t="s">
        <v>57</v>
      </c>
    </row>
    <row r="8" ht="15.75" customHeight="1" spans="1:9">
      <c r="B8" s="17">
        <v>99.5</v>
      </c>
      <c r="C8" s="18">
        <v>100</v>
      </c>
      <c r="D8" s="19">
        <v>100</v>
      </c>
      <c r="F8" s="20">
        <v>100</v>
      </c>
      <c r="G8" s="21" t="s">
        <v>58</v>
      </c>
      <c r="H8" s="22" t="s">
        <v>59</v>
      </c>
    </row>
    <row r="9" ht="15.75" customHeight="1" spans="1:9">
      <c r="B9" s="23">
        <v>98.32</v>
      </c>
      <c r="C9" s="24">
        <v>99.49</v>
      </c>
      <c r="D9" s="25">
        <v>99</v>
      </c>
      <c r="F9" s="26">
        <v>99</v>
      </c>
      <c r="G9" s="27" t="s">
        <v>58</v>
      </c>
      <c r="H9" s="28"/>
    </row>
    <row r="10" ht="15.75" customHeight="1" spans="1:9">
      <c r="B10" s="23">
        <v>97.14</v>
      </c>
      <c r="C10" s="24">
        <v>98.31</v>
      </c>
      <c r="D10" s="25">
        <v>98</v>
      </c>
      <c r="F10" s="26">
        <v>98</v>
      </c>
      <c r="G10" s="27" t="s">
        <v>58</v>
      </c>
      <c r="H10" s="28"/>
    </row>
    <row r="11" ht="15.75" customHeight="1" spans="1:9">
      <c r="B11" s="23">
        <v>95.96</v>
      </c>
      <c r="C11" s="24">
        <v>97.13</v>
      </c>
      <c r="D11" s="25">
        <v>97</v>
      </c>
      <c r="F11" s="26">
        <v>97</v>
      </c>
      <c r="G11" s="27" t="s">
        <v>58</v>
      </c>
      <c r="H11" s="28"/>
    </row>
    <row r="12" ht="15.75" customHeight="1" spans="1:9">
      <c r="B12" s="23">
        <v>94.78</v>
      </c>
      <c r="C12" s="24">
        <v>95.95</v>
      </c>
      <c r="D12" s="25">
        <v>96</v>
      </c>
      <c r="F12" s="26">
        <v>96</v>
      </c>
      <c r="G12" s="27" t="s">
        <v>58</v>
      </c>
      <c r="H12" s="28"/>
    </row>
    <row r="13" ht="15.75" customHeight="1" spans="1:9">
      <c r="B13" s="29">
        <v>93.6</v>
      </c>
      <c r="C13" s="24">
        <v>94.77</v>
      </c>
      <c r="D13" s="25">
        <v>95</v>
      </c>
      <c r="F13" s="26">
        <v>95</v>
      </c>
      <c r="G13" s="27" t="s">
        <v>58</v>
      </c>
      <c r="H13" s="28"/>
    </row>
    <row r="14" ht="15.75" customHeight="1" spans="1:9">
      <c r="B14" s="23">
        <v>92.42</v>
      </c>
      <c r="C14" s="24">
        <v>93.59</v>
      </c>
      <c r="D14" s="25">
        <v>94</v>
      </c>
      <c r="F14" s="26">
        <v>94</v>
      </c>
      <c r="G14" s="27" t="s">
        <v>58</v>
      </c>
      <c r="H14" s="28"/>
    </row>
    <row r="15" ht="15.75" customHeight="1" spans="1:9">
      <c r="B15" s="23">
        <v>91.24</v>
      </c>
      <c r="C15" s="24">
        <v>92.41</v>
      </c>
      <c r="D15" s="25">
        <v>93</v>
      </c>
      <c r="F15" s="26">
        <v>93</v>
      </c>
      <c r="G15" s="27" t="s">
        <v>58</v>
      </c>
      <c r="H15" s="28"/>
    </row>
    <row r="16" ht="15.75" customHeight="1" spans="1:9">
      <c r="B16" s="23">
        <v>90.06</v>
      </c>
      <c r="C16" s="24">
        <v>91.23</v>
      </c>
      <c r="D16" s="25">
        <v>92</v>
      </c>
      <c r="F16" s="26">
        <v>92</v>
      </c>
      <c r="G16" s="27" t="s">
        <v>58</v>
      </c>
      <c r="H16" s="28"/>
    </row>
    <row r="17" ht="15.75" customHeight="1" spans="2:8">
      <c r="B17" s="23">
        <v>88.88</v>
      </c>
      <c r="C17" s="24">
        <v>90.05</v>
      </c>
      <c r="D17" s="25">
        <v>91</v>
      </c>
      <c r="F17" s="26">
        <v>91</v>
      </c>
      <c r="G17" s="27" t="s">
        <v>58</v>
      </c>
      <c r="H17" s="28"/>
    </row>
    <row r="18" ht="15.75" customHeight="1" spans="2:8">
      <c r="B18" s="29">
        <v>87.7</v>
      </c>
      <c r="C18" s="24">
        <v>88.87</v>
      </c>
      <c r="D18" s="25">
        <v>90</v>
      </c>
      <c r="F18" s="26">
        <v>90</v>
      </c>
      <c r="G18" s="27" t="s">
        <v>58</v>
      </c>
      <c r="H18" s="30"/>
    </row>
    <row r="19" ht="15.75" customHeight="1" spans="2:8">
      <c r="B19" s="23">
        <v>86.52</v>
      </c>
      <c r="C19" s="24">
        <v>87.69</v>
      </c>
      <c r="D19" s="25">
        <v>89</v>
      </c>
      <c r="F19" s="26">
        <v>89</v>
      </c>
      <c r="G19" s="27" t="s">
        <v>60</v>
      </c>
      <c r="H19" s="31" t="s">
        <v>61</v>
      </c>
    </row>
    <row r="20" ht="15.75" customHeight="1" spans="2:8">
      <c r="B20" s="23">
        <v>85.34</v>
      </c>
      <c r="C20" s="24">
        <v>86.51</v>
      </c>
      <c r="D20" s="25">
        <v>88</v>
      </c>
      <c r="F20" s="26">
        <v>88</v>
      </c>
      <c r="G20" s="27" t="s">
        <v>60</v>
      </c>
      <c r="H20" s="28"/>
    </row>
    <row r="21" ht="15.75" customHeight="1" spans="2:8">
      <c r="B21" s="23">
        <v>84.16</v>
      </c>
      <c r="C21" s="24">
        <v>85.33</v>
      </c>
      <c r="D21" s="25">
        <v>87</v>
      </c>
      <c r="F21" s="26">
        <v>87</v>
      </c>
      <c r="G21" s="27" t="s">
        <v>60</v>
      </c>
      <c r="H21" s="28"/>
    </row>
    <row r="22" ht="15.75" customHeight="1" spans="2:8">
      <c r="B22" s="23">
        <v>82.98</v>
      </c>
      <c r="C22" s="24">
        <v>84.15</v>
      </c>
      <c r="D22" s="25">
        <v>86</v>
      </c>
      <c r="F22" s="26">
        <v>86</v>
      </c>
      <c r="G22" s="27" t="s">
        <v>60</v>
      </c>
      <c r="H22" s="28"/>
    </row>
    <row r="23" ht="15.75" customHeight="1" spans="2:8">
      <c r="B23" s="23">
        <v>81.8</v>
      </c>
      <c r="C23" s="24">
        <v>82.97</v>
      </c>
      <c r="D23" s="25">
        <v>85</v>
      </c>
      <c r="F23" s="26">
        <v>85</v>
      </c>
      <c r="G23" s="27" t="s">
        <v>60</v>
      </c>
      <c r="H23" s="28"/>
    </row>
    <row r="24" ht="15.75" customHeight="1" spans="2:8">
      <c r="B24" s="23">
        <v>80.62</v>
      </c>
      <c r="C24" s="24">
        <v>81.79</v>
      </c>
      <c r="D24" s="25">
        <v>84</v>
      </c>
      <c r="F24" s="26">
        <v>84</v>
      </c>
      <c r="G24" s="27" t="s">
        <v>60</v>
      </c>
      <c r="H24" s="28"/>
    </row>
    <row r="25" ht="15.75" customHeight="1" spans="2:8">
      <c r="B25" s="23">
        <v>79.44</v>
      </c>
      <c r="C25" s="24">
        <v>80.61</v>
      </c>
      <c r="D25" s="25">
        <v>83</v>
      </c>
      <c r="F25" s="26">
        <v>83</v>
      </c>
      <c r="G25" s="27" t="s">
        <v>60</v>
      </c>
      <c r="H25" s="28"/>
    </row>
    <row r="26" ht="15.75" customHeight="1" spans="2:8">
      <c r="B26" s="23">
        <v>78.26</v>
      </c>
      <c r="C26" s="24">
        <v>79.43</v>
      </c>
      <c r="D26" s="25">
        <v>82</v>
      </c>
      <c r="F26" s="26">
        <v>82</v>
      </c>
      <c r="G26" s="27" t="s">
        <v>60</v>
      </c>
      <c r="H26" s="28"/>
    </row>
    <row r="27" ht="15.75" customHeight="1" spans="2:8">
      <c r="B27" s="23">
        <v>77.08</v>
      </c>
      <c r="C27" s="24">
        <v>78.25</v>
      </c>
      <c r="D27" s="25">
        <v>81</v>
      </c>
      <c r="F27" s="26">
        <v>81</v>
      </c>
      <c r="G27" s="27" t="s">
        <v>60</v>
      </c>
      <c r="H27" s="28"/>
    </row>
    <row r="28" ht="15.75" customHeight="1" spans="2:8">
      <c r="B28" s="23">
        <v>75.9</v>
      </c>
      <c r="C28" s="24">
        <v>77.07</v>
      </c>
      <c r="D28" s="25">
        <v>80</v>
      </c>
      <c r="F28" s="26">
        <v>80</v>
      </c>
      <c r="G28" s="27" t="s">
        <v>60</v>
      </c>
      <c r="H28" s="30"/>
    </row>
    <row r="29" ht="15.75" customHeight="1" spans="2:8">
      <c r="B29" s="23">
        <v>74.72</v>
      </c>
      <c r="C29" s="24">
        <v>75.89</v>
      </c>
      <c r="D29" s="25">
        <v>79</v>
      </c>
      <c r="F29" s="26">
        <v>79</v>
      </c>
      <c r="G29" s="27" t="s">
        <v>62</v>
      </c>
      <c r="H29" s="31" t="s">
        <v>63</v>
      </c>
    </row>
    <row r="30" ht="15.75" customHeight="1" spans="2:8">
      <c r="B30" s="23">
        <v>73.54</v>
      </c>
      <c r="C30" s="24">
        <v>74.71</v>
      </c>
      <c r="D30" s="25">
        <v>78</v>
      </c>
      <c r="F30" s="26">
        <v>78</v>
      </c>
      <c r="G30" s="27" t="s">
        <v>62</v>
      </c>
      <c r="H30" s="28"/>
    </row>
    <row r="31" ht="15.75" customHeight="1" spans="2:8">
      <c r="B31" s="23">
        <v>72.36</v>
      </c>
      <c r="C31" s="24">
        <v>73.53</v>
      </c>
      <c r="D31" s="25">
        <v>77</v>
      </c>
      <c r="F31" s="26">
        <v>77</v>
      </c>
      <c r="G31" s="27" t="s">
        <v>62</v>
      </c>
      <c r="H31" s="28"/>
    </row>
    <row r="32" ht="15.75" customHeight="1" spans="2:8">
      <c r="B32" s="23">
        <v>71.18</v>
      </c>
      <c r="C32" s="24">
        <v>72.35</v>
      </c>
      <c r="D32" s="25">
        <v>76</v>
      </c>
      <c r="F32" s="26">
        <v>76</v>
      </c>
      <c r="G32" s="27" t="s">
        <v>62</v>
      </c>
      <c r="H32" s="28"/>
    </row>
    <row r="33" ht="15.75" customHeight="1" spans="2:8">
      <c r="B33" s="32">
        <v>70</v>
      </c>
      <c r="C33" s="33">
        <v>71.17</v>
      </c>
      <c r="D33" s="34">
        <v>75</v>
      </c>
      <c r="F33" s="26">
        <v>75</v>
      </c>
      <c r="G33" s="27" t="s">
        <v>62</v>
      </c>
      <c r="H33" s="30"/>
    </row>
    <row r="34" ht="15.75" customHeight="1" spans="2:8">
      <c r="B34" s="23">
        <v>65.34</v>
      </c>
      <c r="C34" s="24">
        <v>69.99</v>
      </c>
      <c r="D34" s="25">
        <v>74</v>
      </c>
      <c r="F34" s="26">
        <v>74</v>
      </c>
      <c r="G34" s="27" t="s">
        <v>64</v>
      </c>
      <c r="H34" s="31" t="s">
        <v>65</v>
      </c>
    </row>
    <row r="35" ht="15.75" customHeight="1" spans="2:8">
      <c r="B35" s="23">
        <v>60.67</v>
      </c>
      <c r="C35" s="24">
        <v>65.33</v>
      </c>
      <c r="D35" s="25">
        <v>73</v>
      </c>
      <c r="F35" s="26">
        <v>73</v>
      </c>
      <c r="G35" s="27" t="s">
        <v>64</v>
      </c>
      <c r="H35" s="28"/>
    </row>
    <row r="36" ht="15.75" customHeight="1" spans="2:8">
      <c r="B36" s="23">
        <v>56.01</v>
      </c>
      <c r="C36" s="24">
        <v>60.66</v>
      </c>
      <c r="D36" s="25">
        <v>72</v>
      </c>
      <c r="F36" s="26">
        <v>72</v>
      </c>
      <c r="G36" s="27" t="s">
        <v>64</v>
      </c>
      <c r="H36" s="28"/>
    </row>
    <row r="37" ht="15.75" customHeight="1" spans="2:8">
      <c r="B37" s="23">
        <v>51.34</v>
      </c>
      <c r="C37" s="35">
        <v>56</v>
      </c>
      <c r="D37" s="25">
        <v>71</v>
      </c>
      <c r="F37" s="26">
        <v>71</v>
      </c>
      <c r="G37" s="27" t="s">
        <v>64</v>
      </c>
      <c r="H37" s="28"/>
    </row>
    <row r="38" ht="15.75" customHeight="1" spans="2:8">
      <c r="B38" s="23">
        <v>46.67</v>
      </c>
      <c r="C38" s="24">
        <v>51.33</v>
      </c>
      <c r="D38" s="25">
        <v>70</v>
      </c>
      <c r="F38" s="26">
        <v>70</v>
      </c>
      <c r="G38" s="27" t="s">
        <v>64</v>
      </c>
      <c r="H38" s="28"/>
    </row>
    <row r="39" ht="15.75" customHeight="1" spans="2:8">
      <c r="B39" s="23">
        <v>42.01</v>
      </c>
      <c r="C39" s="24">
        <v>46.66</v>
      </c>
      <c r="D39" s="25">
        <v>69</v>
      </c>
      <c r="F39" s="26">
        <v>69</v>
      </c>
      <c r="G39" s="27" t="s">
        <v>64</v>
      </c>
      <c r="H39" s="28"/>
    </row>
    <row r="40" ht="15.75" customHeight="1" spans="2:8">
      <c r="B40" s="23">
        <v>37.34</v>
      </c>
      <c r="C40" s="35">
        <v>42</v>
      </c>
      <c r="D40" s="25">
        <v>68</v>
      </c>
      <c r="F40" s="26">
        <v>68</v>
      </c>
      <c r="G40" s="27" t="s">
        <v>64</v>
      </c>
      <c r="H40" s="28"/>
    </row>
    <row r="41" ht="15.75" customHeight="1" spans="2:8">
      <c r="B41" s="23">
        <v>32.68</v>
      </c>
      <c r="C41" s="24">
        <v>37.33</v>
      </c>
      <c r="D41" s="25">
        <v>67</v>
      </c>
      <c r="F41" s="26">
        <v>67</v>
      </c>
      <c r="G41" s="27" t="s">
        <v>64</v>
      </c>
      <c r="H41" s="28"/>
    </row>
    <row r="42" ht="15.75" customHeight="1" spans="2:8">
      <c r="B42" s="23">
        <v>28.01</v>
      </c>
      <c r="C42" s="24">
        <v>32.67</v>
      </c>
      <c r="D42" s="25">
        <v>66</v>
      </c>
      <c r="F42" s="26">
        <v>66</v>
      </c>
      <c r="G42" s="27" t="s">
        <v>64</v>
      </c>
      <c r="H42" s="28"/>
    </row>
    <row r="43" ht="15.75" customHeight="1" spans="2:8">
      <c r="B43" s="23">
        <v>23.35</v>
      </c>
      <c r="C43" s="35">
        <v>28</v>
      </c>
      <c r="D43" s="25">
        <v>65</v>
      </c>
      <c r="F43" s="26">
        <v>65</v>
      </c>
      <c r="G43" s="27" t="s">
        <v>64</v>
      </c>
      <c r="H43" s="30"/>
    </row>
    <row r="44" ht="15.75" customHeight="1" spans="2:8">
      <c r="B44" s="23">
        <v>18.68</v>
      </c>
      <c r="C44" s="24">
        <v>23.34</v>
      </c>
      <c r="D44" s="25">
        <v>64</v>
      </c>
      <c r="F44" s="26">
        <v>64</v>
      </c>
      <c r="G44" s="27" t="s">
        <v>66</v>
      </c>
      <c r="H44" s="31" t="s">
        <v>67</v>
      </c>
    </row>
    <row r="45" ht="15.75" customHeight="1" spans="2:8">
      <c r="B45" s="23">
        <v>14.01</v>
      </c>
      <c r="C45" s="24">
        <v>18.67</v>
      </c>
      <c r="D45" s="25">
        <v>63</v>
      </c>
      <c r="F45" s="26">
        <v>63</v>
      </c>
      <c r="G45" s="27" t="s">
        <v>66</v>
      </c>
      <c r="H45" s="28"/>
    </row>
    <row r="46" ht="15.75" customHeight="1" spans="2:8">
      <c r="B46" s="23">
        <v>9.35</v>
      </c>
      <c r="C46" s="35">
        <v>14</v>
      </c>
      <c r="D46" s="25">
        <v>62</v>
      </c>
      <c r="F46" s="26">
        <v>62</v>
      </c>
      <c r="G46" s="27" t="s">
        <v>66</v>
      </c>
      <c r="H46" s="28"/>
    </row>
    <row r="47" ht="15.75" customHeight="1" spans="2:8">
      <c r="B47" s="23">
        <v>4.68</v>
      </c>
      <c r="C47" s="24">
        <v>9.34</v>
      </c>
      <c r="D47" s="25">
        <v>61</v>
      </c>
      <c r="F47" s="26">
        <v>61</v>
      </c>
      <c r="G47" s="27" t="s">
        <v>66</v>
      </c>
      <c r="H47" s="28"/>
    </row>
    <row r="48" ht="15.75" customHeight="1" spans="2:8">
      <c r="B48" s="36">
        <v>0</v>
      </c>
      <c r="C48" s="37">
        <v>4.67</v>
      </c>
      <c r="D48" s="38">
        <v>60</v>
      </c>
      <c r="F48" s="39">
        <v>60</v>
      </c>
      <c r="G48" s="40" t="s">
        <v>66</v>
      </c>
      <c r="H48" s="41"/>
    </row>
    <row r="49" ht="15.75" customHeight="1" spans="2:8">
      <c r="B49" s="42"/>
      <c r="C49" s="42"/>
      <c r="D49" s="42"/>
      <c r="G49" s="42"/>
      <c r="H49" s="43"/>
    </row>
    <row r="50" ht="15.75" customHeight="1" spans="2:8">
      <c r="B50" s="42"/>
      <c r="C50" s="42"/>
      <c r="D50" s="42"/>
      <c r="G50" s="42"/>
      <c r="H50" s="43"/>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6:D6"/>
    <mergeCell ref="F6:H6"/>
    <mergeCell ref="H8:H18"/>
    <mergeCell ref="H19:H28"/>
    <mergeCell ref="H29:H33"/>
    <mergeCell ref="H34:H43"/>
    <mergeCell ref="H44:H48"/>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INPUT DATA</vt:lpstr>
      <vt:lpstr>TERM 1</vt:lpstr>
      <vt:lpstr>TERM 2</vt:lpstr>
      <vt:lpstr>TERM 3</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2026-08-29T07:40:00Z</dcterms:created>
  <dcterms:modified xsi:type="dcterms:W3CDTF">2026-10-16T17:23:48Z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C21AF9EEF524411F82B0D23B229DD925_12</vt:lpwstr>
  </property>
  <property fmtid="{D5CDD505-2E9C-101B-9397-08002B2CF9AE}" pid="3" name="KSOProductBuildVer">
    <vt:lpwstr>1033-12.1.0.29162</vt:lpwstr>
  </property>
  <property fmtid="{D5CDD505-2E9C-101B-9397-08002B2CF9AE}" pid="4" name="CalculationRule">
    <vt:i4>0</vt:i4>
  </property>
</Properties>
</file>